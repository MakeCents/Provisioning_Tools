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8600" yWindow="-15" windowWidth="18660" windowHeight="945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E3" i="1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2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</calcChain>
</file>

<file path=xl/sharedStrings.xml><?xml version="1.0" encoding="utf-8"?>
<sst xmlns="http://schemas.openxmlformats.org/spreadsheetml/2006/main" count="1238" uniqueCount="843">
  <si>
    <t>A</t>
  </si>
  <si>
    <t>12571776</t>
  </si>
  <si>
    <t>12574288</t>
  </si>
  <si>
    <t>B</t>
  </si>
  <si>
    <t>MIL-001-080</t>
  </si>
  <si>
    <t>C</t>
  </si>
  <si>
    <t>MIL-001-396</t>
  </si>
  <si>
    <t>D</t>
  </si>
  <si>
    <t>MIL-001-498</t>
  </si>
  <si>
    <t>MIL-001-499</t>
  </si>
  <si>
    <t>MIL-001-067</t>
  </si>
  <si>
    <t>E</t>
  </si>
  <si>
    <t>MIL-001-533</t>
  </si>
  <si>
    <t>MIL-001-489</t>
  </si>
  <si>
    <t>MIL-001-534</t>
  </si>
  <si>
    <t>MIL-001-535</t>
  </si>
  <si>
    <t>MIL-001-536</t>
  </si>
  <si>
    <t>MIL-001-537</t>
  </si>
  <si>
    <t>MIL-001-538</t>
  </si>
  <si>
    <t>MIL-001-539</t>
  </si>
  <si>
    <t>MIL-001-540</t>
  </si>
  <si>
    <t>MIL-001-541</t>
  </si>
  <si>
    <t>MIL-001-542</t>
  </si>
  <si>
    <t>MIL-001-543</t>
  </si>
  <si>
    <t>MIL-001-544</t>
  </si>
  <si>
    <t>MIL-001-545</t>
  </si>
  <si>
    <t>MIL-001-491</t>
  </si>
  <si>
    <t>MIL-001-068</t>
  </si>
  <si>
    <t>MIL-001-492</t>
  </si>
  <si>
    <t>MIL-001-546</t>
  </si>
  <si>
    <t>MIL-001-547</t>
  </si>
  <si>
    <t>MIL-001-548</t>
  </si>
  <si>
    <t>MIL-001-493</t>
  </si>
  <si>
    <t>MIL-001-549</t>
  </si>
  <si>
    <t>MIL-001-553</t>
  </si>
  <si>
    <t>MIL-001-554</t>
  </si>
  <si>
    <t>MIL-001-556</t>
  </si>
  <si>
    <t>MIL-001-557</t>
  </si>
  <si>
    <t>MIL-001-525</t>
  </si>
  <si>
    <t>MIL-001-495</t>
  </si>
  <si>
    <t>MIL-001-069</t>
  </si>
  <si>
    <t>MIL-001-497</t>
  </si>
  <si>
    <t>MIL-001-496</t>
  </si>
  <si>
    <t>MIL-001-511</t>
  </si>
  <si>
    <t>MIL-001-500</t>
  </si>
  <si>
    <t>MIL-001-507</t>
  </si>
  <si>
    <t>MIL-001-555</t>
  </si>
  <si>
    <t>MIL-001-503</t>
  </si>
  <si>
    <t>MIL-001-558</t>
  </si>
  <si>
    <t>MIL-001-560</t>
  </si>
  <si>
    <t>MIL-001-562</t>
  </si>
  <si>
    <t>MIL-001-574</t>
  </si>
  <si>
    <t>MIL-001-564</t>
  </si>
  <si>
    <t>MIL-001-565</t>
  </si>
  <si>
    <t>MIL-001-563</t>
  </si>
  <si>
    <t>MIL-001-566</t>
  </si>
  <si>
    <t>MIL-001-567</t>
  </si>
  <si>
    <t>MIL-001-568</t>
  </si>
  <si>
    <t>MIL-001-569</t>
  </si>
  <si>
    <t>MIL-001-570</t>
  </si>
  <si>
    <t>MIL-001-591</t>
  </si>
  <si>
    <t>MIL-001-559</t>
  </si>
  <si>
    <t>MIL-001-508</t>
  </si>
  <si>
    <t>MIL-001-509</t>
  </si>
  <si>
    <t>MIL-001-502</t>
  </si>
  <si>
    <t>MIL-001-241</t>
  </si>
  <si>
    <t>MIL-001-561</t>
  </si>
  <si>
    <t>MIL-001-572</t>
  </si>
  <si>
    <t>MIL-001-583</t>
  </si>
  <si>
    <t>MIL-001-575</t>
  </si>
  <si>
    <t>MIL-001-576</t>
  </si>
  <si>
    <t>MIL-001-552</t>
  </si>
  <si>
    <t>MIL-001-586</t>
  </si>
  <si>
    <t>MIL-001-585</t>
  </si>
  <si>
    <t>MIL-001-584</t>
  </si>
  <si>
    <t>MIL-001-501</t>
  </si>
  <si>
    <t>MIL-001-595</t>
  </si>
  <si>
    <t>MIL-001-596</t>
  </si>
  <si>
    <t>MIL-001-085</t>
  </si>
  <si>
    <t>MIL-001-107</t>
  </si>
  <si>
    <t>MIL-001-108</t>
  </si>
  <si>
    <t>MIL-001-176</t>
  </si>
  <si>
    <t>MIL-001-779</t>
  </si>
  <si>
    <t>MIL-001-859</t>
  </si>
  <si>
    <t>MIL-001-801</t>
  </si>
  <si>
    <t>MIL-001-571</t>
  </si>
  <si>
    <t>MIL-001-846</t>
  </si>
  <si>
    <t>MIL-001-261</t>
  </si>
  <si>
    <t>MIL-001-618</t>
  </si>
  <si>
    <t>MIL-001-619</t>
  </si>
  <si>
    <t>MIL-001-759</t>
  </si>
  <si>
    <t>MIL-001-763</t>
  </si>
  <si>
    <t>MIL-001-904</t>
  </si>
  <si>
    <t>MIL-001-905</t>
  </si>
  <si>
    <t>MIL-001-047</t>
  </si>
  <si>
    <t>MIL-001-870</t>
  </si>
  <si>
    <t>MIL-001-869</t>
  </si>
  <si>
    <t>MIL-001-781</t>
  </si>
  <si>
    <t>MIL-001-211</t>
  </si>
  <si>
    <t>MIL-001-331</t>
  </si>
  <si>
    <t>MIL-001-424</t>
  </si>
  <si>
    <t>MIL-001-078</t>
  </si>
  <si>
    <t>MIL-001-206</t>
  </si>
  <si>
    <t>MIL-001-430</t>
  </si>
  <si>
    <t>MIL-001-431</t>
  </si>
  <si>
    <t>MIL-001-376</t>
  </si>
  <si>
    <t>MIL-001-377</t>
  </si>
  <si>
    <t>MIL-001-130</t>
  </si>
  <si>
    <t>MIL-001-378</t>
  </si>
  <si>
    <t>MIL-001-379</t>
  </si>
  <si>
    <t>MIL-001-222</t>
  </si>
  <si>
    <t>MIL-001-802</t>
  </si>
  <si>
    <t>MIL-001-799</t>
  </si>
  <si>
    <t>MIL-001-223</t>
  </si>
  <si>
    <t>MIL-001-340</t>
  </si>
  <si>
    <t>MIL-001-761</t>
  </si>
  <si>
    <t>MIL-001-197</t>
  </si>
  <si>
    <t>MIL-001-198</t>
  </si>
  <si>
    <t>MIL-001-199</t>
  </si>
  <si>
    <t>MIL-001-951</t>
  </si>
  <si>
    <t>MIL-001-730</t>
  </si>
  <si>
    <t>MIL-001-728</t>
  </si>
  <si>
    <t>MIL-001-726</t>
  </si>
  <si>
    <t>MIL-001-762</t>
  </si>
  <si>
    <t>MIL-001-327</t>
  </si>
  <si>
    <t>MIL-001-729</t>
  </si>
  <si>
    <t>MIL-001-003</t>
  </si>
  <si>
    <t>MIL-001-004</t>
  </si>
  <si>
    <t>MIL-001-007</t>
  </si>
  <si>
    <t>MIL-001-727</t>
  </si>
  <si>
    <t>MIL-001-760</t>
  </si>
  <si>
    <t>MIL-001-886</t>
  </si>
  <si>
    <t>MIL-001-323</t>
  </si>
  <si>
    <t>MIL-001-326</t>
  </si>
  <si>
    <t>MIL-001-202</t>
  </si>
  <si>
    <t>MIL-001-429</t>
  </si>
  <si>
    <t>MIL-001-1412</t>
  </si>
  <si>
    <t>MIL-001-848</t>
  </si>
  <si>
    <t>MIL-001-767</t>
  </si>
  <si>
    <t>137783</t>
  </si>
  <si>
    <t>33814</t>
  </si>
  <si>
    <t>123495</t>
  </si>
  <si>
    <t>MIL-001-192</t>
  </si>
  <si>
    <t>MIL-001-258</t>
  </si>
  <si>
    <t>MIL-001-259</t>
  </si>
  <si>
    <t>MIL-001-260</t>
  </si>
  <si>
    <t>MIL-001-082</t>
  </si>
  <si>
    <t>MIL-001-844</t>
  </si>
  <si>
    <t>MIL-001-840</t>
  </si>
  <si>
    <t>MIL-001-841</t>
  </si>
  <si>
    <t>MIL-001-249</t>
  </si>
  <si>
    <t>MIL-001-250</t>
  </si>
  <si>
    <t>MIL-001-447</t>
  </si>
  <si>
    <t>MIL-001-587</t>
  </si>
  <si>
    <t>MIL-001-251</t>
  </si>
  <si>
    <t>MIL-001-1188</t>
  </si>
  <si>
    <t>MIL-001-355</t>
  </si>
  <si>
    <t>MIL-001-448</t>
  </si>
  <si>
    <t>MIL-001-454</t>
  </si>
  <si>
    <t>MIL-001-455</t>
  </si>
  <si>
    <t>MIL-001-850</t>
  </si>
  <si>
    <t>MIL-001-650</t>
  </si>
  <si>
    <t>MIL-001-768</t>
  </si>
  <si>
    <t>MIL-001-1189</t>
  </si>
  <si>
    <t>MIL-001-827</t>
  </si>
  <si>
    <t>MIL-001-337</t>
  </si>
  <si>
    <t>MIL-001-189</t>
  </si>
  <si>
    <t>MIL-001-190</t>
  </si>
  <si>
    <t>MIL-001-1191</t>
  </si>
  <si>
    <t>MIL-001-1194</t>
  </si>
  <si>
    <t>MIL-001-860</t>
  </si>
  <si>
    <t>MIL-001-769</t>
  </si>
  <si>
    <t>MIL-001-829</t>
  </si>
  <si>
    <t>MIL-001-790</t>
  </si>
  <si>
    <t>MIL-001-791</t>
  </si>
  <si>
    <t>MIL-001-792</t>
  </si>
  <si>
    <t>MIL-001-773</t>
  </si>
  <si>
    <t>MIL-001-910</t>
  </si>
  <si>
    <t>MIL-001-1354</t>
  </si>
  <si>
    <t>MIL-001-395</t>
  </si>
  <si>
    <t>MIL-001-853</t>
  </si>
  <si>
    <t>MIL-001-423</t>
  </si>
  <si>
    <t>MIL-001-072</t>
  </si>
  <si>
    <t>MIL-001-074</t>
  </si>
  <si>
    <t>MIL-001-075</t>
  </si>
  <si>
    <t>MIL-001-649</t>
  </si>
  <si>
    <t>MIL-001-264</t>
  </si>
  <si>
    <t>MIL-001-073</t>
  </si>
  <si>
    <t>MIL-001-238</t>
  </si>
  <si>
    <t>MIL-001-174</t>
  </si>
  <si>
    <t>MIL-001-861</t>
  </si>
  <si>
    <t>MIL-001-084</t>
  </si>
  <si>
    <t>MIL-001-1222</t>
  </si>
  <si>
    <t>MIL-001-964</t>
  </si>
  <si>
    <t>MIL-001-090</t>
  </si>
  <si>
    <t>MIL-001-338</t>
  </si>
  <si>
    <t>MIL-001-339</t>
  </si>
  <si>
    <t>MIL-001-263</t>
  </si>
  <si>
    <t>MIL-001-420</t>
  </si>
  <si>
    <t>MIL-001-287</t>
  </si>
  <si>
    <t>MIL-001-766</t>
  </si>
  <si>
    <t>12574289</t>
  </si>
  <si>
    <t>12574291</t>
  </si>
  <si>
    <t>10910174-2</t>
  </si>
  <si>
    <t>MS35338-45</t>
  </si>
  <si>
    <t>B1821BH031C100N</t>
  </si>
  <si>
    <t>12574292</t>
  </si>
  <si>
    <t>12574293</t>
  </si>
  <si>
    <t>10910174-3</t>
  </si>
  <si>
    <t>MS35338-46</t>
  </si>
  <si>
    <t>B1821BH038C125N</t>
  </si>
  <si>
    <t>12574304</t>
  </si>
  <si>
    <t>12574317</t>
  </si>
  <si>
    <t>6157K16</t>
  </si>
  <si>
    <t>12574294</t>
  </si>
  <si>
    <t>DIN125 A13-200HV-A3C</t>
  </si>
  <si>
    <t>DIN127-B12-A4C</t>
  </si>
  <si>
    <t>ISO4014-M12X40-8.8-A2D</t>
  </si>
  <si>
    <t>DIN934-M12-10-A3L</t>
  </si>
  <si>
    <t>12574295</t>
  </si>
  <si>
    <t>12574296</t>
  </si>
  <si>
    <t>12387279-18</t>
  </si>
  <si>
    <t>MS35338-48</t>
  </si>
  <si>
    <t>92620A722</t>
  </si>
  <si>
    <t>DIN125-A17-ST50-A2L</t>
  </si>
  <si>
    <t>ISO4014-M16X70-10.9-A2D</t>
  </si>
  <si>
    <t>10910174-8</t>
  </si>
  <si>
    <t>MS35338-51</t>
  </si>
  <si>
    <t>12387305-24</t>
  </si>
  <si>
    <t>B1821BH075C550N</t>
  </si>
  <si>
    <t>12574297</t>
  </si>
  <si>
    <t>90185A589</t>
  </si>
  <si>
    <t>12387305-6</t>
  </si>
  <si>
    <t>12574298</t>
  </si>
  <si>
    <t>12574299</t>
  </si>
  <si>
    <t>9217K55</t>
  </si>
  <si>
    <t>90096A550</t>
  </si>
  <si>
    <t>DIN125-10.5</t>
  </si>
  <si>
    <t>DIN985-M10-A4C</t>
  </si>
  <si>
    <t>12574300</t>
  </si>
  <si>
    <t>12574301</t>
  </si>
  <si>
    <t>12574302</t>
  </si>
  <si>
    <t>12574303</t>
  </si>
  <si>
    <t>12574305</t>
  </si>
  <si>
    <t>98412A215</t>
  </si>
  <si>
    <t>B1821BH050C150N</t>
  </si>
  <si>
    <t>LT1504-C8-10</t>
  </si>
  <si>
    <t>MS24671-30</t>
  </si>
  <si>
    <t>ISO4014-M12X60-8.8-A2D</t>
  </si>
  <si>
    <t>16055T26</t>
  </si>
  <si>
    <t>12574290</t>
  </si>
  <si>
    <t>MIL-001-665</t>
  </si>
  <si>
    <t>MIL-001-666</t>
  </si>
  <si>
    <t>MIL-001-836</t>
  </si>
  <si>
    <t>MIL-001-656</t>
  </si>
  <si>
    <t>MIL-001-657</t>
  </si>
  <si>
    <t>MIL-001-1259</t>
  </si>
  <si>
    <t>MIL-001-662</t>
  </si>
  <si>
    <t>MIL-001-663</t>
  </si>
  <si>
    <t>MIL-001-664</t>
  </si>
  <si>
    <t>MIL-001-1535</t>
  </si>
  <si>
    <t>MIL-001-1536</t>
  </si>
  <si>
    <t>F</t>
  </si>
  <si>
    <t>Part Number</t>
  </si>
  <si>
    <t>PLISN</t>
  </si>
  <si>
    <t>Indenture</t>
  </si>
  <si>
    <t>Expand/Drag</t>
  </si>
  <si>
    <t>12585845</t>
  </si>
  <si>
    <t>12585846</t>
  </si>
  <si>
    <t>MIL-001-1431</t>
  </si>
  <si>
    <t>MIL-001-516</t>
  </si>
  <si>
    <t>M459131-4CG8Z</t>
  </si>
  <si>
    <t>Description</t>
  </si>
  <si>
    <t>Arm, Interrogation, RG-31 (Top Level)</t>
  </si>
  <si>
    <t>IA Install Components Pan/tilt Camera with light(IDIQ)</t>
  </si>
  <si>
    <t>Fassi M10A.12 Military Micro Crane Assembly</t>
  </si>
  <si>
    <t>M-10A.12 Military Micro Crane - Crane Only</t>
  </si>
  <si>
    <t>Rotation Motor</t>
  </si>
  <si>
    <t>Rotation Supply/Return Hoses</t>
  </si>
  <si>
    <t>Crane Lift Cylinder - Complete</t>
  </si>
  <si>
    <t>M10A Lift Cylinder</t>
  </si>
  <si>
    <t>Holding Valve</t>
  </si>
  <si>
    <t>M6 x 40mm Lg. Hex Head Bolt</t>
  </si>
  <si>
    <t>M6 Belleville Spring Lock Washer</t>
  </si>
  <si>
    <t>M6 Self-locking Hex Nut</t>
  </si>
  <si>
    <t>Nipple</t>
  </si>
  <si>
    <t>90 deg. Union Elbow</t>
  </si>
  <si>
    <t>Union Tee</t>
  </si>
  <si>
    <t>Lift Cylinder Extend Tube</t>
  </si>
  <si>
    <t>Lift Cylinder Retract Tube</t>
  </si>
  <si>
    <t>Washer</t>
  </si>
  <si>
    <t>Plug</t>
  </si>
  <si>
    <t>Grease Fitting</t>
  </si>
  <si>
    <t>Lift Hydraulic Supply/Return Hoses</t>
  </si>
  <si>
    <t>Crane Extension Cylinder - First - Complete</t>
  </si>
  <si>
    <t xml:space="preserve">Crane Extension Cylinder </t>
  </si>
  <si>
    <t>Self-locking Ring Nut</t>
  </si>
  <si>
    <t>Locknut</t>
  </si>
  <si>
    <t>M6 x 50mm Lg. Hex Head Bolt</t>
  </si>
  <si>
    <t>Extension Cylinder Extend Tubing</t>
  </si>
  <si>
    <t>Extension Cylinder Retract Tubing</t>
  </si>
  <si>
    <t>Collar</t>
  </si>
  <si>
    <t>Clamp</t>
  </si>
  <si>
    <t>Extension Main Supply/Return Hoses</t>
  </si>
  <si>
    <t>First Extension Hydraulic Supply/Return Hoses</t>
  </si>
  <si>
    <t>Crane Extension Cylinder - Second - Complete</t>
  </si>
  <si>
    <t>Crane Supply/Return Extension Pipes</t>
  </si>
  <si>
    <t>Second Extension Hydraulic Supply/Return Hoses</t>
  </si>
  <si>
    <t>Activated Function Supply/Return Hydraulic Hoses</t>
  </si>
  <si>
    <t>Hydraulic Bulkhead Union Straight</t>
  </si>
  <si>
    <t>Bottom Tray Hydraulic Hoses</t>
  </si>
  <si>
    <t>Bottom Hose Tray Assembly</t>
  </si>
  <si>
    <t>Bottom Hose Tray</t>
  </si>
  <si>
    <t>Shim</t>
  </si>
  <si>
    <t>M6 x 120mm Lg. Hex Head Bolt</t>
  </si>
  <si>
    <t>Tray Mounting Plate</t>
  </si>
  <si>
    <t>M8 x 20mm Lg. Hex Head Bolt</t>
  </si>
  <si>
    <t>M8 Belleville Spring Lock Washer</t>
  </si>
  <si>
    <t>Tubing Clamp</t>
  </si>
  <si>
    <t>M8 x 25mm Lg. Hex Head Bolt</t>
  </si>
  <si>
    <t>Tray Mount</t>
  </si>
  <si>
    <t>Slide Bar</t>
  </si>
  <si>
    <t>M8 Self-locking Hex Nut</t>
  </si>
  <si>
    <t>Tray Guide</t>
  </si>
  <si>
    <t>M8 x 16mm Lg. Hex Head Bolt</t>
  </si>
  <si>
    <t>M8 Flat Washer</t>
  </si>
  <si>
    <t>Spacer</t>
  </si>
  <si>
    <t>Tray Pipe L</t>
  </si>
  <si>
    <t>Tray Pipe H</t>
  </si>
  <si>
    <t>Top Tray Hydraulic Hoses</t>
  </si>
  <si>
    <t>M-Section Holding Pin</t>
  </si>
  <si>
    <t>Hose Protection</t>
  </si>
  <si>
    <t>Clamping Plate</t>
  </si>
  <si>
    <t>M8 x 20 Lg. Hex Head Bolt</t>
  </si>
  <si>
    <t>M8 Hex Nut</t>
  </si>
  <si>
    <t>M8 Self-Locking Nut</t>
  </si>
  <si>
    <t>Bushing</t>
  </si>
  <si>
    <t>Lower Mounting Pin</t>
  </si>
  <si>
    <t>Locking Ring</t>
  </si>
  <si>
    <t>Top Mounting Pin</t>
  </si>
  <si>
    <t>Bulkhead Bracket</t>
  </si>
  <si>
    <t>M12 x 30 Lg. Socket Head Cap Screw</t>
  </si>
  <si>
    <t>M12 Tooth Lock Washer</t>
  </si>
  <si>
    <t>Camera Bulkhead, Male/Female</t>
  </si>
  <si>
    <t>PROXIMITY SENSOR BULKHEAD</t>
  </si>
  <si>
    <t>CRANE LENGTH PROXIMITY SENSOR CABLE</t>
  </si>
  <si>
    <t>Camera Crane Cable (in line connection)</t>
  </si>
  <si>
    <t>Bulkhead Protector Bracket</t>
  </si>
  <si>
    <t>Bulkhead Protector Hardware</t>
  </si>
  <si>
    <t>M8-1.25 X30 10.9METRIC C.S.</t>
  </si>
  <si>
    <t>M8 Lock Washer</t>
  </si>
  <si>
    <t>M10 Commercial Manual</t>
  </si>
  <si>
    <t>Wiring Harness, Valve Body</t>
  </si>
  <si>
    <t>Hose, Hydraulic, 120”</t>
  </si>
  <si>
    <t>Positive Battery Cable, DO4 Variant 26'</t>
  </si>
  <si>
    <t>Negative Battery Cable 48" 5/16-3/8 lugs</t>
  </si>
  <si>
    <t>Crane Box</t>
  </si>
  <si>
    <t>Boom Box</t>
  </si>
  <si>
    <t>ARTICULATING BOOM ASSEMBLY (Hoses &amp; cylinders Grasp Rake single LED light)</t>
  </si>
  <si>
    <t>Outer Manual Articulating Weldment Rake Version</t>
  </si>
  <si>
    <t>Inner Manual  Articulating Weldment Rake Version</t>
  </si>
  <si>
    <t>1" x 2-3/4 - Shoulder Bolt Pin  Gr. 8</t>
  </si>
  <si>
    <t>1" SAE Flat Washer Gr. 8</t>
  </si>
  <si>
    <t>3/4" SAE Flat Washer, Gr. 8</t>
  </si>
  <si>
    <t>3/4" - 10 Lock Nut  Gr. 8</t>
  </si>
  <si>
    <t>Interrogator Cylinder Assembly</t>
  </si>
  <si>
    <t>5/8" x 2 - Shoulder Bolt Pin  Gr. C</t>
  </si>
  <si>
    <t>5/8 " SAE Flat Washer Gr. 8</t>
  </si>
  <si>
    <t>1/2"-13 Lock Nut  Gr. C</t>
  </si>
  <si>
    <t>Interrogator Pressure Hose</t>
  </si>
  <si>
    <t>Interrogator Return Hose</t>
  </si>
  <si>
    <t>Knuckle Cylinder Assembly w/ holding valve</t>
  </si>
  <si>
    <t>Knuckle Pressure Hose, 88 5/8", #6 and #6 Female</t>
  </si>
  <si>
    <t>Knuckle Return Hose, 90 5/8", #6 and #6 Female</t>
  </si>
  <si>
    <t>Boom Hose Guide</t>
  </si>
  <si>
    <t>M6 X1 .53" Long Straight Grease Fitting</t>
  </si>
  <si>
    <t>18" Hose Coil</t>
  </si>
  <si>
    <t>Hose Clamps</t>
  </si>
  <si>
    <t>Articulation Reinforcement Bracket</t>
  </si>
  <si>
    <t>1/2"-13 x 3.5 HHCS, Gr.8</t>
  </si>
  <si>
    <t>1/2" USS Flat Washer Gr.8</t>
  </si>
  <si>
    <t>1/2"Lock Washer</t>
  </si>
  <si>
    <t>1/2" -13 Hex Head Nut</t>
  </si>
  <si>
    <t>Worklight Boom Cable (Single Light)</t>
  </si>
  <si>
    <t>Gripping Rake Tool Assembly</t>
  </si>
  <si>
    <t>Top Thumb Assembly</t>
  </si>
  <si>
    <t>Top Thumb Weldment</t>
  </si>
  <si>
    <t>1/2"-13 x 5.5 HHCS, Gr.8</t>
  </si>
  <si>
    <t>1/2" Hex Nut Gr. 8</t>
  </si>
  <si>
    <t>Bottom Rake Assembly</t>
  </si>
  <si>
    <t>INTERROGATOR HEEL</t>
  </si>
  <si>
    <t>INTERROGATOR PIVOT ARM</t>
  </si>
  <si>
    <t>INTERROGATOR SPACER</t>
  </si>
  <si>
    <t>Bottom Rake Weldment</t>
  </si>
  <si>
    <t>1/2"-13 x 7.5 HHCS, Gr.8</t>
  </si>
  <si>
    <t>1/2" SAE Flat Washer</t>
  </si>
  <si>
    <t>1/2"  Lock Washer Gr. 8 (see MIL-001-198)</t>
  </si>
  <si>
    <t>1/2 - 13 x 4" SHCS Gr.8</t>
  </si>
  <si>
    <t>3/4 " Shoulder Bolt Pin 3"</t>
  </si>
  <si>
    <t>5/8 - 11 Lock Nut</t>
  </si>
  <si>
    <t>Digging Tooth, Knife Edge</t>
  </si>
  <si>
    <t>Digging Tooth Hardware</t>
  </si>
  <si>
    <t>1/2 - 13 x 2-1/4 HHCS Gr.8</t>
  </si>
  <si>
    <t xml:space="preserve">Camera Bracket and Cage </t>
  </si>
  <si>
    <t>Clamp Plate</t>
  </si>
  <si>
    <t>5/16-18 HHCS Gr. 8</t>
  </si>
  <si>
    <t xml:space="preserve">5/16" SAE Flat Washer </t>
  </si>
  <si>
    <t xml:space="preserve">5/16" Lock Washer  </t>
  </si>
  <si>
    <t>Camera Hardware</t>
  </si>
  <si>
    <t>1/4-20 x 3-1/2 SHCS Gr.8</t>
  </si>
  <si>
    <t>1/4 - 20 Hex Nut</t>
  </si>
  <si>
    <t>1/4" USS Flat Washer Gr. 8</t>
  </si>
  <si>
    <t>1/4" Lock Washer  Gr. 8</t>
  </si>
  <si>
    <t>Work Light Assembly</t>
  </si>
  <si>
    <t>HPU with Aluminum Cover Assembly</t>
  </si>
  <si>
    <t>Hydraulic Power Unit Assembly (no cover)</t>
  </si>
  <si>
    <t>Fassi M10A.12 Hydraulic Power Unit (no cover)</t>
  </si>
  <si>
    <t>150A Resettable Breaker</t>
  </si>
  <si>
    <t>1/4 - 20 x 1" HHCS Gr. 8</t>
  </si>
  <si>
    <t>1/4-20 Lock Nut, Gr. 8</t>
  </si>
  <si>
    <t>Positive Battery Wire, 1 ft 2 Gauge, Red w/ 5/16 Battery Terminals</t>
  </si>
  <si>
    <t>Solenoid Grounding Strap - Wire 7 inches 14AWG</t>
  </si>
  <si>
    <t>HPU Cooling Fan Relay Assembly</t>
  </si>
  <si>
    <t>5/16 Ring Terminal, 16-14 AWG</t>
  </si>
  <si>
    <t>Disconnect Terminal, Female, 18-22 AWG, 1/4" Tab</t>
  </si>
  <si>
    <t>Disconnect Terminal, Female, 14-16 AWG, 1/4" Tab</t>
  </si>
  <si>
    <t>Disconnect Terminal, Male, 14-16 AWG, 1/4" Tab</t>
  </si>
  <si>
    <t>Disconnect Terminal, Male, 18-22 AWG, 1/4" Tab</t>
  </si>
  <si>
    <t>Relay Mounting Bracket</t>
  </si>
  <si>
    <t>Relay Mounting Bracket Hardware</t>
  </si>
  <si>
    <t>5/16" - 18 x 3/4" HHCS Gr.8</t>
  </si>
  <si>
    <t>5/16-18 Hex Head Nut Gr. 8</t>
  </si>
  <si>
    <t>5/16" USS Flat Washer</t>
  </si>
  <si>
    <t>5/16" Lock Washer</t>
  </si>
  <si>
    <t>HPU Electrical Control Harness</t>
  </si>
  <si>
    <t>Internal HPU Power Supply Harness</t>
  </si>
  <si>
    <t>Internal HPU Supply/Return Hoses</t>
  </si>
  <si>
    <t>HPU Cover w/Cooling Fan Assembly</t>
  </si>
  <si>
    <t>Aluminum HPU Cover</t>
  </si>
  <si>
    <t>HPU Filter Cover Assembly</t>
  </si>
  <si>
    <t>HPU Housing Cooling Fan</t>
  </si>
  <si>
    <t>HPU Cooling Fan Filter</t>
  </si>
  <si>
    <t>HPU Cooling Fan Hardware</t>
  </si>
  <si>
    <t>1/4 - 20 x 1" Flat Phillips Head Screw</t>
  </si>
  <si>
    <t>1/4" SAE Flat Washer Gr. 8</t>
  </si>
  <si>
    <t>HPU Cover Hardware</t>
  </si>
  <si>
    <t>1/4" - 1 1/8 Fender Washer</t>
  </si>
  <si>
    <t>M6 x 1 x 25mm HHCS Gr.10.9</t>
  </si>
  <si>
    <t>6mm Lock washer</t>
  </si>
  <si>
    <t>Husky Valve Fascan Assembly</t>
  </si>
  <si>
    <t xml:space="preserve">Control Box </t>
  </si>
  <si>
    <t>Remote Communication Cable (50ft)</t>
  </si>
  <si>
    <t>1/2" Wire Loom 86"</t>
  </si>
  <si>
    <t>Hetronics Manual</t>
  </si>
  <si>
    <t>REMOTE CONSOLE</t>
  </si>
  <si>
    <t>Hand Controller Strap</t>
  </si>
  <si>
    <t>Red Key</t>
  </si>
  <si>
    <t>Camera Bigfoot Shoe (Standard Set Screw)</t>
  </si>
  <si>
    <t>Patrol CCTV Look(TM) Monitor</t>
  </si>
  <si>
    <t>PTZ Camera w/illuminator</t>
  </si>
  <si>
    <t>Monitor Sun Shield</t>
  </si>
  <si>
    <t>Camera Power Cable (LOOK unit)</t>
  </si>
  <si>
    <t>Exterior Vehicle Camera Cable (26ft)</t>
  </si>
  <si>
    <t>Interior Vehicle Camera Cable (15ft)</t>
  </si>
  <si>
    <t>Rvision Manual</t>
  </si>
  <si>
    <t>Monitor Attaching Bolts, 10-32 x 1/2" SHCS</t>
  </si>
  <si>
    <t>SPST toggle switch (24VDC, 10 amp)</t>
  </si>
  <si>
    <t>Camera Boom Cable Big Foot 17'</t>
  </si>
  <si>
    <t>Installation Kit, Interrogation Arm</t>
  </si>
  <si>
    <t>PLATE, VALVE BODY</t>
  </si>
  <si>
    <t>SAE FLAT WASHER, 5/16"</t>
  </si>
  <si>
    <t>LOCKWASHER - 5/16"</t>
  </si>
  <si>
    <t>HHCS 5/16 - 18 X 1.0 INCH</t>
  </si>
  <si>
    <t>PLATE, IDENTIFICATION</t>
  </si>
  <si>
    <t>GUIDE ASSY</t>
  </si>
  <si>
    <t>SAE FLAT WASHER, 3/8"</t>
  </si>
  <si>
    <t>LOCKWASHER - 3/8"</t>
  </si>
  <si>
    <t>HHCS 3/8-16 X 1.25 INCH</t>
  </si>
  <si>
    <t>BRACKET, GUIDE</t>
  </si>
  <si>
    <t>TUBE, GUIDE</t>
  </si>
  <si>
    <t>COLLAR, SHAFT, .75 INCH ID</t>
  </si>
  <si>
    <t>BRACKET, CHEVRON</t>
  </si>
  <si>
    <t>WASHER, FLAT, M12</t>
  </si>
  <si>
    <t>WASHER, SPRING LOCK, M12</t>
  </si>
  <si>
    <t>SCREW,  HEXAGON HEAD, M12X40</t>
  </si>
  <si>
    <t>HEX NUT, M12X1.75</t>
  </si>
  <si>
    <t>WELDMENT, CRANE MOUNT</t>
  </si>
  <si>
    <t>WELDMENT, BACKING PLATE</t>
  </si>
  <si>
    <t>FLAT WASHER - 1/2"</t>
  </si>
  <si>
    <t>LOCKWASHER 1/2"</t>
  </si>
  <si>
    <t>HHCS 1/2-13 X 2.5 FULL THREAD</t>
  </si>
  <si>
    <t>FLAT WASHER, M16</t>
  </si>
  <si>
    <t>HEX BOLT, M16X70</t>
  </si>
  <si>
    <t>SAE FLAT WASHER, 3/4"</t>
  </si>
  <si>
    <t>LOCKWASHER - 3/4</t>
  </si>
  <si>
    <t>HEX NUT, 3/4-10</t>
  </si>
  <si>
    <t>HEX HEAD SCREW - 3/4-10UNC X 5.50</t>
  </si>
  <si>
    <t>PLATE, HPU</t>
  </si>
  <si>
    <t>CARRIAGE BOLT, 5/16-18 X 1.25</t>
  </si>
  <si>
    <t>HEX NUT 5/16-18 UNC</t>
  </si>
  <si>
    <t>COVER, SWITCH</t>
  </si>
  <si>
    <t>COVER, BOX</t>
  </si>
  <si>
    <t>VIBRATION MOUNT, M10 X 1.63</t>
  </si>
  <si>
    <t>THREAD CUTTING SCREW, 1/4-20 X 2</t>
  </si>
  <si>
    <t>1/4 - 20 NYLOCK</t>
  </si>
  <si>
    <t>WASHER, FLAT, M10</t>
  </si>
  <si>
    <t>LOCKNUT M10X1.5, NON-METAL LOCKING</t>
  </si>
  <si>
    <t>ASSY, CRADLE</t>
  </si>
  <si>
    <t>WELDMENT, CRADLE</t>
  </si>
  <si>
    <t>BRACKET, CRADLE</t>
  </si>
  <si>
    <t>PLATE, NYLON, INNER</t>
  </si>
  <si>
    <t>PLATE, NYLON, LOWER</t>
  </si>
  <si>
    <t>PLATE, NYLON, OUTER</t>
  </si>
  <si>
    <t>SCREW, THREAD CUTTING 1/4-20 X 2.0 INCH</t>
  </si>
  <si>
    <t>HITCH PIN, .25 INCH OD X 4" LENGTH</t>
  </si>
  <si>
    <t>HEX HEAD SCREW - 1/2-13 UNC X 1.5</t>
  </si>
  <si>
    <t>LOCKWASHER - 1/2"</t>
  </si>
  <si>
    <t>LANYARD, 10 INCH</t>
  </si>
  <si>
    <t>FHCS, 1/4-20 X .75 INCH</t>
  </si>
  <si>
    <t>PLATE, CLIP</t>
  </si>
  <si>
    <t>WASHER, SPRING LOCK</t>
  </si>
  <si>
    <t>SCREW,  HEXAGON HEAD</t>
  </si>
  <si>
    <t>Arrow, adhesive backed</t>
  </si>
  <si>
    <t>Installation Kit, Electrical and Consumable Items</t>
  </si>
  <si>
    <t>1/2" Wire Loom (Bulk) 25 FT</t>
  </si>
  <si>
    <t>5/8" Wire Loom (Bulk) 40 FT</t>
  </si>
  <si>
    <t>K&amp;N Filter Care Service Kit</t>
  </si>
  <si>
    <t>Large Zip Ties, 120lbs rated, UV resistant Pack of 100</t>
  </si>
  <si>
    <t>Medium Zip Ties, 75lbs rated, UV resistant Pack of 100</t>
  </si>
  <si>
    <t>Zip Ties, Small Pack of 10</t>
  </si>
  <si>
    <t>P-Clamp, 1" diameter, for 1/2" Bolt</t>
  </si>
  <si>
    <t>P-Clamp, 1.5" diameter, for 1/4" Bolt</t>
  </si>
  <si>
    <t>P-Clamp, 2" diameter, for 1/4" Bolt</t>
  </si>
  <si>
    <t>Zippertube 1</t>
  </si>
  <si>
    <t>Zippertube 2</t>
  </si>
  <si>
    <t xml:space="preserve">AAAW </t>
  </si>
  <si>
    <t xml:space="preserve">AABG </t>
  </si>
  <si>
    <t xml:space="preserve">AAB2 </t>
  </si>
  <si>
    <t xml:space="preserve">AACN </t>
  </si>
  <si>
    <t xml:space="preserve">AAC8 </t>
  </si>
  <si>
    <t xml:space="preserve">AADU </t>
  </si>
  <si>
    <t xml:space="preserve">AAEE </t>
  </si>
  <si>
    <t xml:space="preserve">AAE0 </t>
  </si>
  <si>
    <t xml:space="preserve">AAFL </t>
  </si>
  <si>
    <t xml:space="preserve">AAF6 </t>
  </si>
  <si>
    <t xml:space="preserve">AAGS </t>
  </si>
  <si>
    <t xml:space="preserve">AAHC </t>
  </si>
  <si>
    <t xml:space="preserve">AAHY </t>
  </si>
  <si>
    <t xml:space="preserve">AAJJ </t>
  </si>
  <si>
    <t xml:space="preserve">AAJ4 </t>
  </si>
  <si>
    <t xml:space="preserve">AAKQ </t>
  </si>
  <si>
    <t xml:space="preserve">AALA </t>
  </si>
  <si>
    <t xml:space="preserve">AALW </t>
  </si>
  <si>
    <t xml:space="preserve">AAMG </t>
  </si>
  <si>
    <t xml:space="preserve">AAM2 </t>
  </si>
  <si>
    <t xml:space="preserve">AANN </t>
  </si>
  <si>
    <t xml:space="preserve">AAN8 </t>
  </si>
  <si>
    <t xml:space="preserve">AAPU </t>
  </si>
  <si>
    <t xml:space="preserve">AAQE </t>
  </si>
  <si>
    <t xml:space="preserve">AAQ0 </t>
  </si>
  <si>
    <t xml:space="preserve">AARL </t>
  </si>
  <si>
    <t xml:space="preserve">AAR6 </t>
  </si>
  <si>
    <t xml:space="preserve">AASS </t>
  </si>
  <si>
    <t xml:space="preserve">AATC </t>
  </si>
  <si>
    <t xml:space="preserve">AATY </t>
  </si>
  <si>
    <t xml:space="preserve">AAUJ </t>
  </si>
  <si>
    <t xml:space="preserve">AAU4 </t>
  </si>
  <si>
    <t xml:space="preserve">AAVQ </t>
  </si>
  <si>
    <t xml:space="preserve">AAWA </t>
  </si>
  <si>
    <t xml:space="preserve">AAWW </t>
  </si>
  <si>
    <t xml:space="preserve">AAXG </t>
  </si>
  <si>
    <t xml:space="preserve">AAX2 </t>
  </si>
  <si>
    <t xml:space="preserve">AAYN </t>
  </si>
  <si>
    <t xml:space="preserve">AAY8 </t>
  </si>
  <si>
    <t xml:space="preserve">AAZU </t>
  </si>
  <si>
    <t xml:space="preserve">AA0E </t>
  </si>
  <si>
    <t xml:space="preserve">AA00 </t>
  </si>
  <si>
    <t xml:space="preserve">AA1L </t>
  </si>
  <si>
    <t xml:space="preserve">AA16 </t>
  </si>
  <si>
    <t xml:space="preserve">AA2S </t>
  </si>
  <si>
    <t xml:space="preserve">AA3C </t>
  </si>
  <si>
    <t xml:space="preserve">AA3Y </t>
  </si>
  <si>
    <t xml:space="preserve">AA4J </t>
  </si>
  <si>
    <t xml:space="preserve">AA44 </t>
  </si>
  <si>
    <t xml:space="preserve">AA5Q </t>
  </si>
  <si>
    <t xml:space="preserve">AA6A </t>
  </si>
  <si>
    <t xml:space="preserve">AA6W </t>
  </si>
  <si>
    <t xml:space="preserve">AA7G </t>
  </si>
  <si>
    <t xml:space="preserve">AA72 </t>
  </si>
  <si>
    <t xml:space="preserve">AA8N </t>
  </si>
  <si>
    <t xml:space="preserve">AA88 </t>
  </si>
  <si>
    <t xml:space="preserve">AA9U </t>
  </si>
  <si>
    <t xml:space="preserve">ABAE </t>
  </si>
  <si>
    <t xml:space="preserve">ABA0 </t>
  </si>
  <si>
    <t xml:space="preserve">ABBL </t>
  </si>
  <si>
    <t xml:space="preserve">ABB6 </t>
  </si>
  <si>
    <t xml:space="preserve">ABCS </t>
  </si>
  <si>
    <t xml:space="preserve">ABDC </t>
  </si>
  <si>
    <t xml:space="preserve">ABDY </t>
  </si>
  <si>
    <t xml:space="preserve">ABEJ </t>
  </si>
  <si>
    <t xml:space="preserve">ABE4 </t>
  </si>
  <si>
    <t xml:space="preserve">ABFQ </t>
  </si>
  <si>
    <t xml:space="preserve">ABGA </t>
  </si>
  <si>
    <t xml:space="preserve">ABGW </t>
  </si>
  <si>
    <t xml:space="preserve">ABHG </t>
  </si>
  <si>
    <t xml:space="preserve">ABH2 </t>
  </si>
  <si>
    <t xml:space="preserve">ABJN </t>
  </si>
  <si>
    <t xml:space="preserve">ABJ8 </t>
  </si>
  <si>
    <t xml:space="preserve">ABKU </t>
  </si>
  <si>
    <t xml:space="preserve">ABLE </t>
  </si>
  <si>
    <t xml:space="preserve">ABL0 </t>
  </si>
  <si>
    <t xml:space="preserve">ABML </t>
  </si>
  <si>
    <t xml:space="preserve">ABM6 </t>
  </si>
  <si>
    <t xml:space="preserve">ABNS </t>
  </si>
  <si>
    <t xml:space="preserve">ABPC </t>
  </si>
  <si>
    <t xml:space="preserve">ABPY </t>
  </si>
  <si>
    <t xml:space="preserve">ABQJ </t>
  </si>
  <si>
    <t xml:space="preserve">ABQ4 </t>
  </si>
  <si>
    <t xml:space="preserve">ABRQ </t>
  </si>
  <si>
    <t xml:space="preserve">ABSA </t>
  </si>
  <si>
    <t xml:space="preserve">ABSW </t>
  </si>
  <si>
    <t xml:space="preserve">ABTG </t>
  </si>
  <si>
    <t xml:space="preserve">ABT2 </t>
  </si>
  <si>
    <t xml:space="preserve">ABUN </t>
  </si>
  <si>
    <t xml:space="preserve">ABU8 </t>
  </si>
  <si>
    <t xml:space="preserve">ABVU </t>
  </si>
  <si>
    <t xml:space="preserve">ABWE </t>
  </si>
  <si>
    <t xml:space="preserve">ABW0 </t>
  </si>
  <si>
    <t xml:space="preserve">ABXL </t>
  </si>
  <si>
    <t xml:space="preserve">ABX6 </t>
  </si>
  <si>
    <t xml:space="preserve">ABYS </t>
  </si>
  <si>
    <t xml:space="preserve">ABZC </t>
  </si>
  <si>
    <t xml:space="preserve">ABZY </t>
  </si>
  <si>
    <t xml:space="preserve">AB0J </t>
  </si>
  <si>
    <t xml:space="preserve">AB04 </t>
  </si>
  <si>
    <t xml:space="preserve">AB1Q </t>
  </si>
  <si>
    <t xml:space="preserve">AB2A </t>
  </si>
  <si>
    <t xml:space="preserve">AB2W </t>
  </si>
  <si>
    <t xml:space="preserve">AB3G </t>
  </si>
  <si>
    <t xml:space="preserve">AB32 </t>
  </si>
  <si>
    <t xml:space="preserve">AB4N </t>
  </si>
  <si>
    <t xml:space="preserve">AB48 </t>
  </si>
  <si>
    <t xml:space="preserve">AB5U </t>
  </si>
  <si>
    <t xml:space="preserve">AB6E </t>
  </si>
  <si>
    <t xml:space="preserve">AB60 </t>
  </si>
  <si>
    <t xml:space="preserve">AB7L </t>
  </si>
  <si>
    <t xml:space="preserve">AB76 </t>
  </si>
  <si>
    <t xml:space="preserve">AB8S </t>
  </si>
  <si>
    <t xml:space="preserve">AB9C </t>
  </si>
  <si>
    <t xml:space="preserve">AB9Y </t>
  </si>
  <si>
    <t xml:space="preserve">ACAJ </t>
  </si>
  <si>
    <t xml:space="preserve">ACA4 </t>
  </si>
  <si>
    <t xml:space="preserve">ACBQ </t>
  </si>
  <si>
    <t xml:space="preserve">ACCA </t>
  </si>
  <si>
    <t xml:space="preserve">ACCW </t>
  </si>
  <si>
    <t xml:space="preserve">ACDG </t>
  </si>
  <si>
    <t xml:space="preserve">ACD2 </t>
  </si>
  <si>
    <t xml:space="preserve">ACEN </t>
  </si>
  <si>
    <t xml:space="preserve">ACE8 </t>
  </si>
  <si>
    <t xml:space="preserve">ACFU </t>
  </si>
  <si>
    <t xml:space="preserve">ACGE </t>
  </si>
  <si>
    <t xml:space="preserve">ACG0 </t>
  </si>
  <si>
    <t xml:space="preserve">ACHL </t>
  </si>
  <si>
    <t xml:space="preserve">ACH6 </t>
  </si>
  <si>
    <t xml:space="preserve">ACJS </t>
  </si>
  <si>
    <t xml:space="preserve">ACKC </t>
  </si>
  <si>
    <t xml:space="preserve">ACKY </t>
  </si>
  <si>
    <t xml:space="preserve">ACLJ </t>
  </si>
  <si>
    <t xml:space="preserve">ACL4 </t>
  </si>
  <si>
    <t xml:space="preserve">ACMQ </t>
  </si>
  <si>
    <t xml:space="preserve">ACNA </t>
  </si>
  <si>
    <t xml:space="preserve">ACNW </t>
  </si>
  <si>
    <t xml:space="preserve">ACPG </t>
  </si>
  <si>
    <t xml:space="preserve">ACP2 </t>
  </si>
  <si>
    <t xml:space="preserve">ACQN </t>
  </si>
  <si>
    <t xml:space="preserve">ACQ8 </t>
  </si>
  <si>
    <t xml:space="preserve">ACRU </t>
  </si>
  <si>
    <t xml:space="preserve">ACSE </t>
  </si>
  <si>
    <t xml:space="preserve">ACS0 </t>
  </si>
  <si>
    <t xml:space="preserve">ACTL </t>
  </si>
  <si>
    <t xml:space="preserve">ACT6 </t>
  </si>
  <si>
    <t xml:space="preserve">ACUS </t>
  </si>
  <si>
    <t xml:space="preserve">ACVC </t>
  </si>
  <si>
    <t xml:space="preserve">ACVY </t>
  </si>
  <si>
    <t xml:space="preserve">ACWJ </t>
  </si>
  <si>
    <t xml:space="preserve">ACW4 </t>
  </si>
  <si>
    <t xml:space="preserve">ACXQ </t>
  </si>
  <si>
    <t xml:space="preserve">ACYA </t>
  </si>
  <si>
    <t xml:space="preserve">ACYW </t>
  </si>
  <si>
    <t xml:space="preserve">ACZG </t>
  </si>
  <si>
    <t xml:space="preserve">ACZ2 </t>
  </si>
  <si>
    <t xml:space="preserve">AC0N </t>
  </si>
  <si>
    <t xml:space="preserve">AC08 </t>
  </si>
  <si>
    <t xml:space="preserve">AC1U </t>
  </si>
  <si>
    <t xml:space="preserve">AC2E </t>
  </si>
  <si>
    <t xml:space="preserve">AC20 </t>
  </si>
  <si>
    <t xml:space="preserve">AC3L </t>
  </si>
  <si>
    <t xml:space="preserve">AC36 </t>
  </si>
  <si>
    <t xml:space="preserve">AC4S </t>
  </si>
  <si>
    <t xml:space="preserve">AC5C </t>
  </si>
  <si>
    <t xml:space="preserve">AC5Y </t>
  </si>
  <si>
    <t xml:space="preserve">AC6J </t>
  </si>
  <si>
    <t xml:space="preserve">AC64 </t>
  </si>
  <si>
    <t xml:space="preserve">AC7Q </t>
  </si>
  <si>
    <t xml:space="preserve">AC8A </t>
  </si>
  <si>
    <t xml:space="preserve">AC8W </t>
  </si>
  <si>
    <t xml:space="preserve">AC9G </t>
  </si>
  <si>
    <t xml:space="preserve">AC92 </t>
  </si>
  <si>
    <t xml:space="preserve">ADAN </t>
  </si>
  <si>
    <t xml:space="preserve">ADA8 </t>
  </si>
  <si>
    <t xml:space="preserve">ADBU </t>
  </si>
  <si>
    <t xml:space="preserve">ADCE </t>
  </si>
  <si>
    <t xml:space="preserve">ADC0 </t>
  </si>
  <si>
    <t xml:space="preserve">ADDL </t>
  </si>
  <si>
    <t xml:space="preserve">ADD6 </t>
  </si>
  <si>
    <t xml:space="preserve">ADES </t>
  </si>
  <si>
    <t xml:space="preserve">ADFC </t>
  </si>
  <si>
    <t xml:space="preserve">ADFY </t>
  </si>
  <si>
    <t xml:space="preserve">ADGJ </t>
  </si>
  <si>
    <t xml:space="preserve">ADG4 </t>
  </si>
  <si>
    <t xml:space="preserve">ADHQ </t>
  </si>
  <si>
    <t xml:space="preserve">ADJA </t>
  </si>
  <si>
    <t xml:space="preserve">ADJW </t>
  </si>
  <si>
    <t xml:space="preserve">ADKG </t>
  </si>
  <si>
    <t xml:space="preserve">ADK2 </t>
  </si>
  <si>
    <t xml:space="preserve">ADLN </t>
  </si>
  <si>
    <t xml:space="preserve">ADL8 </t>
  </si>
  <si>
    <t xml:space="preserve">ADMU </t>
  </si>
  <si>
    <t xml:space="preserve">ADNE </t>
  </si>
  <si>
    <t xml:space="preserve">ADN0 </t>
  </si>
  <si>
    <t xml:space="preserve">ADPL </t>
  </si>
  <si>
    <t xml:space="preserve">ADP6 </t>
  </si>
  <si>
    <t xml:space="preserve">ADQS </t>
  </si>
  <si>
    <t xml:space="preserve">ADRC </t>
  </si>
  <si>
    <t xml:space="preserve">ADRY </t>
  </si>
  <si>
    <t xml:space="preserve">ADSJ </t>
  </si>
  <si>
    <t xml:space="preserve">ADS4 </t>
  </si>
  <si>
    <t xml:space="preserve">ADTQ </t>
  </si>
  <si>
    <t xml:space="preserve">ADUA </t>
  </si>
  <si>
    <t xml:space="preserve">ADUW </t>
  </si>
  <si>
    <t xml:space="preserve">ADVG </t>
  </si>
  <si>
    <t xml:space="preserve">ADV2 </t>
  </si>
  <si>
    <t xml:space="preserve">ADWN </t>
  </si>
  <si>
    <t xml:space="preserve">ADW8 </t>
  </si>
  <si>
    <t xml:space="preserve">ADXU </t>
  </si>
  <si>
    <t xml:space="preserve">ADYE </t>
  </si>
  <si>
    <t xml:space="preserve">ADY0 </t>
  </si>
  <si>
    <t xml:space="preserve">ADZL </t>
  </si>
  <si>
    <t xml:space="preserve">ADZ6 </t>
  </si>
  <si>
    <t xml:space="preserve">AD0S </t>
  </si>
  <si>
    <t xml:space="preserve">AD1C </t>
  </si>
  <si>
    <t xml:space="preserve">AD1Y </t>
  </si>
  <si>
    <t xml:space="preserve">AD2J </t>
  </si>
  <si>
    <t xml:space="preserve">AD24 </t>
  </si>
  <si>
    <t xml:space="preserve">AD3Q </t>
  </si>
  <si>
    <t xml:space="preserve">AD4A </t>
  </si>
  <si>
    <t xml:space="preserve">AD4W </t>
  </si>
  <si>
    <t xml:space="preserve">AD5G </t>
  </si>
  <si>
    <t xml:space="preserve">AD52 </t>
  </si>
  <si>
    <t xml:space="preserve">AD6N </t>
  </si>
  <si>
    <t xml:space="preserve">AD68 </t>
  </si>
  <si>
    <t xml:space="preserve">AD7U </t>
  </si>
  <si>
    <t xml:space="preserve">AD8E </t>
  </si>
  <si>
    <t xml:space="preserve">AD80 </t>
  </si>
  <si>
    <t xml:space="preserve">AD9L </t>
  </si>
  <si>
    <t xml:space="preserve">AD96 </t>
  </si>
  <si>
    <t xml:space="preserve">AEAS </t>
  </si>
  <si>
    <t xml:space="preserve">AEBC </t>
  </si>
  <si>
    <t xml:space="preserve">AEBY </t>
  </si>
  <si>
    <t xml:space="preserve">AECJ </t>
  </si>
  <si>
    <t xml:space="preserve">AEC4 </t>
  </si>
  <si>
    <t xml:space="preserve">AEDQ </t>
  </si>
  <si>
    <t xml:space="preserve">AEEA </t>
  </si>
  <si>
    <t xml:space="preserve">AEEW </t>
  </si>
  <si>
    <t xml:space="preserve">AEFG </t>
  </si>
  <si>
    <t xml:space="preserve">AEF2 </t>
  </si>
  <si>
    <t xml:space="preserve">AEGN </t>
  </si>
  <si>
    <t xml:space="preserve">AEG8 </t>
  </si>
  <si>
    <t xml:space="preserve">AEHU </t>
  </si>
  <si>
    <t xml:space="preserve">AEJE </t>
  </si>
  <si>
    <t xml:space="preserve">AEJ0 </t>
  </si>
  <si>
    <t xml:space="preserve">AEKL </t>
  </si>
  <si>
    <t xml:space="preserve">AEK6 </t>
  </si>
  <si>
    <t xml:space="preserve">AELS </t>
  </si>
  <si>
    <t xml:space="preserve">AEMC </t>
  </si>
  <si>
    <t xml:space="preserve">AEMY </t>
  </si>
  <si>
    <t xml:space="preserve">AENJ </t>
  </si>
  <si>
    <t xml:space="preserve">AEN4 </t>
  </si>
  <si>
    <t xml:space="preserve">AEPQ </t>
  </si>
  <si>
    <t xml:space="preserve">AEQA </t>
  </si>
  <si>
    <t xml:space="preserve">AEQW </t>
  </si>
  <si>
    <t xml:space="preserve">AERG </t>
  </si>
  <si>
    <t xml:space="preserve">AER2 </t>
  </si>
  <si>
    <t xml:space="preserve">AESN </t>
  </si>
  <si>
    <t xml:space="preserve">AES8 </t>
  </si>
  <si>
    <t xml:space="preserve">AETU </t>
  </si>
  <si>
    <t xml:space="preserve">AEUE </t>
  </si>
  <si>
    <t xml:space="preserve">AEU0 </t>
  </si>
  <si>
    <t xml:space="preserve">AEVL </t>
  </si>
  <si>
    <t xml:space="preserve">AEV6 </t>
  </si>
  <si>
    <t xml:space="preserve">AEWS </t>
  </si>
  <si>
    <t xml:space="preserve">AEXC </t>
  </si>
  <si>
    <t xml:space="preserve">AEXY </t>
  </si>
  <si>
    <t xml:space="preserve">AEYJ </t>
  </si>
  <si>
    <t xml:space="preserve">AEY4 </t>
  </si>
  <si>
    <t xml:space="preserve">AEZQ </t>
  </si>
  <si>
    <t xml:space="preserve">AE0A </t>
  </si>
  <si>
    <t xml:space="preserve">AE0W </t>
  </si>
  <si>
    <t xml:space="preserve">AE1G </t>
  </si>
  <si>
    <t xml:space="preserve">AE12 </t>
  </si>
  <si>
    <t xml:space="preserve">AE2N </t>
  </si>
  <si>
    <t xml:space="preserve">AE28 </t>
  </si>
  <si>
    <t xml:space="preserve">AE3U </t>
  </si>
  <si>
    <t xml:space="preserve">AE4E </t>
  </si>
  <si>
    <t xml:space="preserve">AE40 </t>
  </si>
  <si>
    <t xml:space="preserve">AE5L </t>
  </si>
  <si>
    <t xml:space="preserve">AE56 </t>
  </si>
  <si>
    <t xml:space="preserve">AE6S </t>
  </si>
  <si>
    <t xml:space="preserve">AE7C </t>
  </si>
  <si>
    <t xml:space="preserve">AE7Y </t>
  </si>
  <si>
    <t xml:space="preserve">AE8J </t>
  </si>
  <si>
    <t xml:space="preserve">AE84 </t>
  </si>
  <si>
    <t xml:space="preserve">AE9Q </t>
  </si>
  <si>
    <t xml:space="preserve">AFAA </t>
  </si>
  <si>
    <t xml:space="preserve">AFAW </t>
  </si>
  <si>
    <t xml:space="preserve">AFBG </t>
  </si>
  <si>
    <t xml:space="preserve">AFB2 </t>
  </si>
  <si>
    <t xml:space="preserve">AFCN </t>
  </si>
  <si>
    <t xml:space="preserve">AFC8 </t>
  </si>
  <si>
    <t xml:space="preserve">AFDU </t>
  </si>
  <si>
    <t xml:space="preserve">AFEE </t>
  </si>
  <si>
    <t xml:space="preserve">AFE0 </t>
  </si>
  <si>
    <t xml:space="preserve">AFFL </t>
  </si>
  <si>
    <t xml:space="preserve">AFF6 </t>
  </si>
  <si>
    <t xml:space="preserve">AFGS </t>
  </si>
  <si>
    <t xml:space="preserve">AFHC </t>
  </si>
  <si>
    <t xml:space="preserve">AFHY </t>
  </si>
  <si>
    <t xml:space="preserve">AFJJ </t>
  </si>
  <si>
    <t xml:space="preserve">AFJ4 </t>
  </si>
  <si>
    <t xml:space="preserve">AFKQ </t>
  </si>
  <si>
    <t xml:space="preserve">AFLA </t>
  </si>
  <si>
    <t xml:space="preserve">AFLW </t>
  </si>
  <si>
    <t xml:space="preserve">AAAA </t>
  </si>
</sst>
</file>

<file path=xl/styles.xml><?xml version="1.0" encoding="utf-8"?>
<styleSheet xmlns="http://schemas.openxmlformats.org/spreadsheetml/2006/main">
  <numFmts count="1">
    <numFmt numFmtId="164" formatCode="_(* #,##0.00_);_(* \(#,##0.00\);_(* \-??_);_(@_)"/>
  </numFmts>
  <fonts count="7">
    <font>
      <sz val="11"/>
      <color theme="1"/>
      <name val="Calibri"/>
      <family val="2"/>
      <scheme val="minor"/>
    </font>
    <font>
      <sz val="11"/>
      <color indexed="8"/>
      <name val="Arial"/>
      <family val="2"/>
      <charset val="1"/>
    </font>
    <font>
      <sz val="10"/>
      <color indexed="8"/>
      <name val="Arial"/>
      <family val="2"/>
    </font>
    <font>
      <sz val="9"/>
      <name val="Arial"/>
      <family val="2"/>
      <charset val="1"/>
    </font>
    <font>
      <sz val="9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3" fillId="0" borderId="0" xfId="1" applyFont="1" applyFill="1" applyBorder="1" applyAlignment="1">
      <alignment horizontal="left"/>
    </xf>
    <xf numFmtId="0" fontId="3" fillId="0" borderId="0" xfId="1" applyFont="1" applyFill="1" applyAlignment="1">
      <alignment horizontal="left"/>
    </xf>
    <xf numFmtId="0" fontId="6" fillId="0" borderId="0" xfId="0" applyFont="1" applyAlignment="1">
      <alignment horizontal="left" wrapText="1"/>
    </xf>
    <xf numFmtId="0" fontId="0" fillId="0" borderId="0" xfId="0" applyAlignment="1">
      <alignment horizontal="left"/>
    </xf>
    <xf numFmtId="14" fontId="2" fillId="0" borderId="0" xfId="1" applyNumberFormat="1" applyFont="1" applyAlignment="1">
      <alignment horizontal="left"/>
    </xf>
    <xf numFmtId="164" fontId="4" fillId="0" borderId="0" xfId="1" applyNumberFormat="1" applyFont="1" applyFill="1" applyBorder="1" applyAlignment="1">
      <alignment horizontal="left"/>
    </xf>
    <xf numFmtId="0" fontId="5" fillId="0" borderId="0" xfId="1" applyFont="1" applyFill="1" applyAlignment="1">
      <alignment horizontal="left"/>
    </xf>
    <xf numFmtId="0" fontId="6" fillId="2" borderId="0" xfId="0" applyFont="1" applyFill="1" applyAlignment="1">
      <alignment horizontal="left"/>
    </xf>
    <xf numFmtId="164" fontId="3" fillId="0" borderId="0" xfId="1" applyNumberFormat="1" applyFont="1" applyFill="1" applyAlignment="1">
      <alignment horizontal="left"/>
    </xf>
    <xf numFmtId="164" fontId="4" fillId="3" borderId="0" xfId="1" applyNumberFormat="1" applyFont="1" applyFill="1" applyBorder="1" applyAlignment="1">
      <alignment horizontal="left"/>
    </xf>
    <xf numFmtId="164" fontId="3" fillId="0" borderId="0" xfId="1" applyNumberFormat="1" applyFont="1" applyFill="1" applyBorder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Fill="1" applyAlignment="1">
      <alignment horizontal="left"/>
    </xf>
    <xf numFmtId="0" fontId="6" fillId="0" borderId="0" xfId="0" applyFont="1" applyAlignment="1">
      <alignment horizontal="left"/>
    </xf>
  </cellXfs>
  <cellStyles count="2">
    <cellStyle name="Excel Built-in Normal" xfId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G310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5"/>
  <cols>
    <col min="2" max="2" width="12.28515625" bestFit="1" customWidth="1"/>
    <col min="3" max="3" width="30" customWidth="1"/>
    <col min="4" max="4" width="24.5703125" bestFit="1" customWidth="1"/>
    <col min="5" max="5" width="30" customWidth="1"/>
    <col min="6" max="6" width="54.7109375" style="4" customWidth="1"/>
    <col min="9" max="9" width="2.28515625" bestFit="1" customWidth="1"/>
    <col min="10" max="10" width="24.5703125" bestFit="1" customWidth="1"/>
  </cols>
  <sheetData>
    <row r="1" spans="2:7">
      <c r="B1" t="s">
        <v>266</v>
      </c>
      <c r="C1" t="s">
        <v>265</v>
      </c>
      <c r="D1" t="s">
        <v>263</v>
      </c>
      <c r="E1" t="s">
        <v>266</v>
      </c>
      <c r="F1" s="4" t="s">
        <v>272</v>
      </c>
      <c r="G1" t="s">
        <v>264</v>
      </c>
    </row>
    <row r="2" spans="2:7">
      <c r="B2">
        <f>CODE(C2)</f>
        <v>65</v>
      </c>
      <c r="C2" t="s">
        <v>0</v>
      </c>
      <c r="D2" t="s">
        <v>1</v>
      </c>
      <c r="E2" t="str">
        <f t="shared" ref="E2:E65" si="0">G2&amp;"(" &amp; D2 &amp; ")"</f>
        <v>AAAA (12571776)</v>
      </c>
      <c r="F2" s="5" t="s">
        <v>273</v>
      </c>
      <c r="G2" t="s">
        <v>842</v>
      </c>
    </row>
    <row r="3" spans="2:7">
      <c r="B3">
        <f t="shared" ref="B3:B65" si="1">CODE(C3)</f>
        <v>66</v>
      </c>
      <c r="C3" t="s">
        <v>3</v>
      </c>
      <c r="D3" t="s">
        <v>2</v>
      </c>
      <c r="E3" t="str">
        <f t="shared" si="0"/>
        <v>AAAW (12574288)</v>
      </c>
      <c r="F3" s="1" t="s">
        <v>274</v>
      </c>
      <c r="G3" t="s">
        <v>535</v>
      </c>
    </row>
    <row r="4" spans="2:7">
      <c r="B4">
        <f t="shared" si="1"/>
        <v>67</v>
      </c>
      <c r="C4" t="s">
        <v>5</v>
      </c>
      <c r="D4" t="s">
        <v>4</v>
      </c>
      <c r="E4" t="str">
        <f t="shared" si="0"/>
        <v>AABG (MIL-001-080)</v>
      </c>
      <c r="F4" s="6" t="s">
        <v>275</v>
      </c>
      <c r="G4" t="s">
        <v>536</v>
      </c>
    </row>
    <row r="5" spans="2:7">
      <c r="B5">
        <f t="shared" si="1"/>
        <v>68</v>
      </c>
      <c r="C5" t="s">
        <v>7</v>
      </c>
      <c r="D5" t="s">
        <v>6</v>
      </c>
      <c r="E5" t="str">
        <f t="shared" si="0"/>
        <v>AAB2 (MIL-001-396)</v>
      </c>
      <c r="F5" s="6" t="s">
        <v>276</v>
      </c>
      <c r="G5" t="s">
        <v>537</v>
      </c>
    </row>
    <row r="6" spans="2:7">
      <c r="B6">
        <f t="shared" si="1"/>
        <v>69</v>
      </c>
      <c r="C6" t="s">
        <v>11</v>
      </c>
      <c r="D6" t="s">
        <v>8</v>
      </c>
      <c r="E6" t="str">
        <f t="shared" si="0"/>
        <v>AACN (MIL-001-498)</v>
      </c>
      <c r="F6" s="1" t="s">
        <v>277</v>
      </c>
      <c r="G6" t="s">
        <v>538</v>
      </c>
    </row>
    <row r="7" spans="2:7">
      <c r="B7">
        <f t="shared" si="1"/>
        <v>69</v>
      </c>
      <c r="C7" t="s">
        <v>11</v>
      </c>
      <c r="D7" t="s">
        <v>9</v>
      </c>
      <c r="E7" t="str">
        <f t="shared" si="0"/>
        <v>AAC8 (MIL-001-499)</v>
      </c>
      <c r="F7" s="1" t="s">
        <v>278</v>
      </c>
      <c r="G7" t="s">
        <v>539</v>
      </c>
    </row>
    <row r="8" spans="2:7">
      <c r="B8">
        <f t="shared" si="1"/>
        <v>69</v>
      </c>
      <c r="C8" t="s">
        <v>11</v>
      </c>
      <c r="D8" t="s">
        <v>10</v>
      </c>
      <c r="E8" t="str">
        <f t="shared" si="0"/>
        <v>AADU (MIL-001-067)</v>
      </c>
      <c r="F8" s="1" t="s">
        <v>279</v>
      </c>
      <c r="G8" t="s">
        <v>540</v>
      </c>
    </row>
    <row r="9" spans="2:7">
      <c r="B9">
        <f t="shared" si="1"/>
        <v>70</v>
      </c>
      <c r="C9" t="s">
        <v>262</v>
      </c>
      <c r="D9" t="s">
        <v>12</v>
      </c>
      <c r="E9" t="str">
        <f t="shared" si="0"/>
        <v>AAEE (MIL-001-533)</v>
      </c>
      <c r="F9" s="1" t="s">
        <v>280</v>
      </c>
      <c r="G9" t="s">
        <v>541</v>
      </c>
    </row>
    <row r="10" spans="2:7">
      <c r="B10">
        <f t="shared" si="1"/>
        <v>70</v>
      </c>
      <c r="C10" t="s">
        <v>262</v>
      </c>
      <c r="D10" t="s">
        <v>13</v>
      </c>
      <c r="E10" t="str">
        <f t="shared" si="0"/>
        <v>AAE0 (MIL-001-489)</v>
      </c>
      <c r="F10" s="1" t="s">
        <v>281</v>
      </c>
      <c r="G10" t="s">
        <v>542</v>
      </c>
    </row>
    <row r="11" spans="2:7">
      <c r="B11">
        <f t="shared" si="1"/>
        <v>70</v>
      </c>
      <c r="C11" t="s">
        <v>262</v>
      </c>
      <c r="D11" t="s">
        <v>14</v>
      </c>
      <c r="E11" t="str">
        <f t="shared" si="0"/>
        <v>AAFL (MIL-001-534)</v>
      </c>
      <c r="F11" s="1" t="s">
        <v>282</v>
      </c>
      <c r="G11" t="s">
        <v>543</v>
      </c>
    </row>
    <row r="12" spans="2:7">
      <c r="B12">
        <f t="shared" si="1"/>
        <v>70</v>
      </c>
      <c r="C12" t="s">
        <v>262</v>
      </c>
      <c r="D12" t="s">
        <v>15</v>
      </c>
      <c r="E12" t="str">
        <f t="shared" si="0"/>
        <v>AAF6 (MIL-001-535)</v>
      </c>
      <c r="F12" s="1" t="s">
        <v>283</v>
      </c>
      <c r="G12" t="s">
        <v>544</v>
      </c>
    </row>
    <row r="13" spans="2:7">
      <c r="B13">
        <f t="shared" si="1"/>
        <v>70</v>
      </c>
      <c r="C13" t="s">
        <v>262</v>
      </c>
      <c r="D13" t="s">
        <v>16</v>
      </c>
      <c r="E13" t="str">
        <f t="shared" si="0"/>
        <v>AAGS (MIL-001-536)</v>
      </c>
      <c r="F13" s="1" t="s">
        <v>284</v>
      </c>
      <c r="G13" t="s">
        <v>545</v>
      </c>
    </row>
    <row r="14" spans="2:7">
      <c r="B14">
        <f t="shared" si="1"/>
        <v>70</v>
      </c>
      <c r="C14" t="s">
        <v>262</v>
      </c>
      <c r="D14" t="s">
        <v>17</v>
      </c>
      <c r="E14" t="str">
        <f t="shared" si="0"/>
        <v>AAHC (MIL-001-537)</v>
      </c>
      <c r="F14" s="1" t="s">
        <v>285</v>
      </c>
      <c r="G14" t="s">
        <v>546</v>
      </c>
    </row>
    <row r="15" spans="2:7">
      <c r="B15">
        <f t="shared" si="1"/>
        <v>70</v>
      </c>
      <c r="C15" t="s">
        <v>262</v>
      </c>
      <c r="D15" t="s">
        <v>18</v>
      </c>
      <c r="E15" t="str">
        <f t="shared" si="0"/>
        <v>AAHY (MIL-001-538)</v>
      </c>
      <c r="F15" s="1" t="s">
        <v>286</v>
      </c>
      <c r="G15" t="s">
        <v>547</v>
      </c>
    </row>
    <row r="16" spans="2:7">
      <c r="B16">
        <f t="shared" si="1"/>
        <v>70</v>
      </c>
      <c r="C16" t="s">
        <v>262</v>
      </c>
      <c r="D16" t="s">
        <v>19</v>
      </c>
      <c r="E16" t="str">
        <f t="shared" si="0"/>
        <v>AAJJ (MIL-001-539)</v>
      </c>
      <c r="F16" s="1" t="s">
        <v>287</v>
      </c>
      <c r="G16" t="s">
        <v>548</v>
      </c>
    </row>
    <row r="17" spans="2:7">
      <c r="B17">
        <f t="shared" si="1"/>
        <v>70</v>
      </c>
      <c r="C17" t="s">
        <v>262</v>
      </c>
      <c r="D17" t="s">
        <v>20</v>
      </c>
      <c r="E17" t="str">
        <f t="shared" si="0"/>
        <v>AAJ4 (MIL-001-540)</v>
      </c>
      <c r="F17" s="1" t="s">
        <v>288</v>
      </c>
      <c r="G17" t="s">
        <v>549</v>
      </c>
    </row>
    <row r="18" spans="2:7">
      <c r="B18">
        <f t="shared" si="1"/>
        <v>70</v>
      </c>
      <c r="C18" t="s">
        <v>262</v>
      </c>
      <c r="D18" t="s">
        <v>21</v>
      </c>
      <c r="E18" t="str">
        <f t="shared" si="0"/>
        <v>AAKQ (MIL-001-541)</v>
      </c>
      <c r="F18" s="1" t="s">
        <v>289</v>
      </c>
      <c r="G18" t="s">
        <v>550</v>
      </c>
    </row>
    <row r="19" spans="2:7">
      <c r="B19">
        <f t="shared" si="1"/>
        <v>70</v>
      </c>
      <c r="C19" t="s">
        <v>262</v>
      </c>
      <c r="D19" t="s">
        <v>22</v>
      </c>
      <c r="E19" t="str">
        <f t="shared" si="0"/>
        <v>AALA (MIL-001-542)</v>
      </c>
      <c r="F19" s="1" t="s">
        <v>286</v>
      </c>
      <c r="G19" t="s">
        <v>551</v>
      </c>
    </row>
    <row r="20" spans="2:7">
      <c r="B20">
        <f t="shared" si="1"/>
        <v>70</v>
      </c>
      <c r="C20" t="s">
        <v>262</v>
      </c>
      <c r="D20" t="s">
        <v>23</v>
      </c>
      <c r="E20" t="str">
        <f t="shared" si="0"/>
        <v>AALW (MIL-001-543)</v>
      </c>
      <c r="F20" s="1" t="s">
        <v>290</v>
      </c>
      <c r="G20" t="s">
        <v>552</v>
      </c>
    </row>
    <row r="21" spans="2:7">
      <c r="B21">
        <f t="shared" si="1"/>
        <v>70</v>
      </c>
      <c r="C21" t="s">
        <v>262</v>
      </c>
      <c r="D21" t="s">
        <v>24</v>
      </c>
      <c r="E21" t="str">
        <f t="shared" si="0"/>
        <v>AAMG (MIL-001-544)</v>
      </c>
      <c r="F21" s="1" t="s">
        <v>291</v>
      </c>
      <c r="G21" t="s">
        <v>553</v>
      </c>
    </row>
    <row r="22" spans="2:7">
      <c r="B22">
        <f t="shared" si="1"/>
        <v>70</v>
      </c>
      <c r="C22" t="s">
        <v>262</v>
      </c>
      <c r="D22" t="s">
        <v>25</v>
      </c>
      <c r="E22" t="str">
        <f t="shared" si="0"/>
        <v>AAM2 (MIL-001-545)</v>
      </c>
      <c r="F22" s="1" t="s">
        <v>292</v>
      </c>
      <c r="G22" t="s">
        <v>554</v>
      </c>
    </row>
    <row r="23" spans="2:7">
      <c r="B23">
        <f t="shared" si="1"/>
        <v>69</v>
      </c>
      <c r="C23" t="s">
        <v>11</v>
      </c>
      <c r="D23" t="s">
        <v>26</v>
      </c>
      <c r="E23" t="str">
        <f t="shared" si="0"/>
        <v>AANN (MIL-001-491)</v>
      </c>
      <c r="F23" s="1" t="s">
        <v>293</v>
      </c>
      <c r="G23" t="s">
        <v>555</v>
      </c>
    </row>
    <row r="24" spans="2:7">
      <c r="B24">
        <f t="shared" si="1"/>
        <v>69</v>
      </c>
      <c r="C24" t="s">
        <v>11</v>
      </c>
      <c r="D24" t="s">
        <v>27</v>
      </c>
      <c r="E24" t="str">
        <f t="shared" si="0"/>
        <v>AAN8 (MIL-001-068)</v>
      </c>
      <c r="F24" s="1" t="s">
        <v>294</v>
      </c>
      <c r="G24" t="s">
        <v>556</v>
      </c>
    </row>
    <row r="25" spans="2:7">
      <c r="B25">
        <f t="shared" si="1"/>
        <v>70</v>
      </c>
      <c r="C25" t="s">
        <v>262</v>
      </c>
      <c r="D25" t="s">
        <v>28</v>
      </c>
      <c r="E25" t="str">
        <f t="shared" si="0"/>
        <v>AAPU (MIL-001-492)</v>
      </c>
      <c r="F25" s="1" t="s">
        <v>295</v>
      </c>
      <c r="G25" t="s">
        <v>557</v>
      </c>
    </row>
    <row r="26" spans="2:7">
      <c r="B26">
        <f t="shared" si="1"/>
        <v>70</v>
      </c>
      <c r="C26" t="s">
        <v>262</v>
      </c>
      <c r="D26" t="s">
        <v>29</v>
      </c>
      <c r="E26" t="str">
        <f t="shared" si="0"/>
        <v>AAQE (MIL-001-546)</v>
      </c>
      <c r="F26" s="1" t="s">
        <v>296</v>
      </c>
      <c r="G26" t="s">
        <v>558</v>
      </c>
    </row>
    <row r="27" spans="2:7">
      <c r="B27">
        <f t="shared" si="1"/>
        <v>70</v>
      </c>
      <c r="C27" t="s">
        <v>262</v>
      </c>
      <c r="D27" t="s">
        <v>30</v>
      </c>
      <c r="E27" t="str">
        <f t="shared" si="0"/>
        <v>AAQ0 (MIL-001-547)</v>
      </c>
      <c r="F27" s="1" t="s">
        <v>290</v>
      </c>
      <c r="G27" t="s">
        <v>559</v>
      </c>
    </row>
    <row r="28" spans="2:7">
      <c r="B28">
        <f t="shared" si="1"/>
        <v>70</v>
      </c>
      <c r="C28" t="s">
        <v>262</v>
      </c>
      <c r="D28" t="s">
        <v>31</v>
      </c>
      <c r="E28" t="str">
        <f t="shared" si="0"/>
        <v>AARL (MIL-001-548)</v>
      </c>
      <c r="F28" s="1" t="s">
        <v>297</v>
      </c>
      <c r="G28" t="s">
        <v>560</v>
      </c>
    </row>
    <row r="29" spans="2:7">
      <c r="B29">
        <f t="shared" si="1"/>
        <v>70</v>
      </c>
      <c r="C29" t="s">
        <v>262</v>
      </c>
      <c r="D29" t="s">
        <v>32</v>
      </c>
      <c r="E29" t="str">
        <f t="shared" si="0"/>
        <v>AAR6 (MIL-001-493)</v>
      </c>
      <c r="F29" s="1" t="s">
        <v>281</v>
      </c>
      <c r="G29" t="s">
        <v>561</v>
      </c>
    </row>
    <row r="30" spans="2:7">
      <c r="B30">
        <f t="shared" si="1"/>
        <v>70</v>
      </c>
      <c r="C30" t="s">
        <v>262</v>
      </c>
      <c r="D30" t="s">
        <v>33</v>
      </c>
      <c r="E30" t="str">
        <f t="shared" si="0"/>
        <v>AASS (MIL-001-549)</v>
      </c>
      <c r="F30" s="1" t="s">
        <v>298</v>
      </c>
      <c r="G30" t="s">
        <v>562</v>
      </c>
    </row>
    <row r="31" spans="2:7">
      <c r="B31">
        <f t="shared" si="1"/>
        <v>70</v>
      </c>
      <c r="C31" t="s">
        <v>262</v>
      </c>
      <c r="D31" t="s">
        <v>15</v>
      </c>
      <c r="E31" t="str">
        <f t="shared" si="0"/>
        <v>AATC (MIL-001-535)</v>
      </c>
      <c r="F31" s="1" t="s">
        <v>283</v>
      </c>
      <c r="G31" t="s">
        <v>563</v>
      </c>
    </row>
    <row r="32" spans="2:7">
      <c r="B32">
        <f t="shared" si="1"/>
        <v>70</v>
      </c>
      <c r="C32" t="s">
        <v>262</v>
      </c>
      <c r="D32" t="s">
        <v>16</v>
      </c>
      <c r="E32" t="str">
        <f t="shared" si="0"/>
        <v>AATY (MIL-001-536)</v>
      </c>
      <c r="F32" s="1" t="s">
        <v>284</v>
      </c>
      <c r="G32" t="s">
        <v>564</v>
      </c>
    </row>
    <row r="33" spans="2:7">
      <c r="B33">
        <f t="shared" si="1"/>
        <v>70</v>
      </c>
      <c r="C33" t="s">
        <v>262</v>
      </c>
      <c r="D33" t="s">
        <v>17</v>
      </c>
      <c r="E33" t="str">
        <f t="shared" si="0"/>
        <v>AAUJ (MIL-001-537)</v>
      </c>
      <c r="F33" s="1" t="s">
        <v>285</v>
      </c>
      <c r="G33" t="s">
        <v>565</v>
      </c>
    </row>
    <row r="34" spans="2:7">
      <c r="B34">
        <f t="shared" si="1"/>
        <v>70</v>
      </c>
      <c r="C34" t="s">
        <v>262</v>
      </c>
      <c r="D34" t="s">
        <v>34</v>
      </c>
      <c r="E34" t="str">
        <f t="shared" si="0"/>
        <v>AAU4 (MIL-001-553)</v>
      </c>
      <c r="F34" s="1" t="s">
        <v>299</v>
      </c>
      <c r="G34" t="s">
        <v>566</v>
      </c>
    </row>
    <row r="35" spans="2:7">
      <c r="B35">
        <f t="shared" si="1"/>
        <v>70</v>
      </c>
      <c r="C35" t="s">
        <v>262</v>
      </c>
      <c r="D35" t="s">
        <v>35</v>
      </c>
      <c r="E35" t="str">
        <f t="shared" si="0"/>
        <v>AAVQ (MIL-001-554)</v>
      </c>
      <c r="F35" s="1" t="s">
        <v>300</v>
      </c>
      <c r="G35" t="s">
        <v>567</v>
      </c>
    </row>
    <row r="36" spans="2:7">
      <c r="B36">
        <f t="shared" si="1"/>
        <v>70</v>
      </c>
      <c r="C36" t="s">
        <v>262</v>
      </c>
      <c r="D36" t="s">
        <v>18</v>
      </c>
      <c r="E36" t="str">
        <f t="shared" si="0"/>
        <v>AAWA (MIL-001-538)</v>
      </c>
      <c r="F36" s="1" t="s">
        <v>286</v>
      </c>
      <c r="G36" t="s">
        <v>568</v>
      </c>
    </row>
    <row r="37" spans="2:7">
      <c r="B37">
        <f t="shared" si="1"/>
        <v>70</v>
      </c>
      <c r="C37" t="s">
        <v>262</v>
      </c>
      <c r="D37" t="s">
        <v>36</v>
      </c>
      <c r="E37" t="str">
        <f t="shared" si="0"/>
        <v>AAWW (MIL-001-556)</v>
      </c>
      <c r="F37" s="1" t="s">
        <v>301</v>
      </c>
      <c r="G37" t="s">
        <v>569</v>
      </c>
    </row>
    <row r="38" spans="2:7">
      <c r="B38">
        <f t="shared" si="1"/>
        <v>70</v>
      </c>
      <c r="C38" t="s">
        <v>262</v>
      </c>
      <c r="D38" t="s">
        <v>37</v>
      </c>
      <c r="E38" t="str">
        <f t="shared" si="0"/>
        <v>AAXG (MIL-001-557)</v>
      </c>
      <c r="F38" s="1" t="s">
        <v>302</v>
      </c>
      <c r="G38" t="s">
        <v>570</v>
      </c>
    </row>
    <row r="39" spans="2:7">
      <c r="B39">
        <f t="shared" si="1"/>
        <v>69</v>
      </c>
      <c r="C39" t="s">
        <v>11</v>
      </c>
      <c r="D39" t="s">
        <v>38</v>
      </c>
      <c r="E39" t="str">
        <f t="shared" si="0"/>
        <v>AAX2 (MIL-001-525)</v>
      </c>
      <c r="F39" s="1" t="s">
        <v>303</v>
      </c>
      <c r="G39" t="s">
        <v>571</v>
      </c>
    </row>
    <row r="40" spans="2:7">
      <c r="B40">
        <f t="shared" si="1"/>
        <v>69</v>
      </c>
      <c r="C40" t="s">
        <v>11</v>
      </c>
      <c r="D40" t="s">
        <v>39</v>
      </c>
      <c r="E40" t="str">
        <f t="shared" si="0"/>
        <v>AAYN (MIL-001-495)</v>
      </c>
      <c r="F40" s="1" t="s">
        <v>304</v>
      </c>
      <c r="G40" t="s">
        <v>572</v>
      </c>
    </row>
    <row r="41" spans="2:7">
      <c r="B41">
        <f t="shared" si="1"/>
        <v>69</v>
      </c>
      <c r="C41" t="s">
        <v>11</v>
      </c>
      <c r="D41" t="s">
        <v>40</v>
      </c>
      <c r="E41" t="str">
        <f t="shared" si="0"/>
        <v>AAY8 (MIL-001-069)</v>
      </c>
      <c r="F41" s="1" t="s">
        <v>305</v>
      </c>
      <c r="G41" t="s">
        <v>573</v>
      </c>
    </row>
    <row r="42" spans="2:7">
      <c r="B42">
        <f t="shared" si="1"/>
        <v>70</v>
      </c>
      <c r="C42" t="s">
        <v>262</v>
      </c>
      <c r="D42" t="s">
        <v>28</v>
      </c>
      <c r="E42" t="str">
        <f t="shared" si="0"/>
        <v>AAZU (MIL-001-492)</v>
      </c>
      <c r="F42" s="1" t="s">
        <v>295</v>
      </c>
      <c r="G42" t="s">
        <v>574</v>
      </c>
    </row>
    <row r="43" spans="2:7">
      <c r="B43">
        <f t="shared" si="1"/>
        <v>70</v>
      </c>
      <c r="C43" t="s">
        <v>262</v>
      </c>
      <c r="D43" t="s">
        <v>29</v>
      </c>
      <c r="E43" t="str">
        <f t="shared" si="0"/>
        <v>AA0E (MIL-001-546)</v>
      </c>
      <c r="F43" s="1" t="s">
        <v>296</v>
      </c>
      <c r="G43" t="s">
        <v>575</v>
      </c>
    </row>
    <row r="44" spans="2:7">
      <c r="B44">
        <f t="shared" si="1"/>
        <v>70</v>
      </c>
      <c r="C44" t="s">
        <v>262</v>
      </c>
      <c r="D44" t="s">
        <v>30</v>
      </c>
      <c r="E44" t="str">
        <f t="shared" si="0"/>
        <v>AA00 (MIL-001-547)</v>
      </c>
      <c r="F44" s="1" t="s">
        <v>290</v>
      </c>
      <c r="G44" t="s">
        <v>576</v>
      </c>
    </row>
    <row r="45" spans="2:7">
      <c r="B45">
        <f t="shared" si="1"/>
        <v>70</v>
      </c>
      <c r="C45" t="s">
        <v>262</v>
      </c>
      <c r="D45" t="s">
        <v>31</v>
      </c>
      <c r="E45" t="str">
        <f t="shared" si="0"/>
        <v>AA1L (MIL-001-548)</v>
      </c>
      <c r="F45" s="1" t="s">
        <v>297</v>
      </c>
      <c r="G45" t="s">
        <v>577</v>
      </c>
    </row>
    <row r="46" spans="2:7">
      <c r="B46">
        <f t="shared" si="1"/>
        <v>70</v>
      </c>
      <c r="C46" t="s">
        <v>262</v>
      </c>
      <c r="D46" t="s">
        <v>32</v>
      </c>
      <c r="E46" t="str">
        <f t="shared" si="0"/>
        <v>AA16 (MIL-001-493)</v>
      </c>
      <c r="F46" s="1" t="s">
        <v>281</v>
      </c>
      <c r="G46" t="s">
        <v>578</v>
      </c>
    </row>
    <row r="47" spans="2:7">
      <c r="B47">
        <f t="shared" si="1"/>
        <v>70</v>
      </c>
      <c r="C47" t="s">
        <v>262</v>
      </c>
      <c r="D47" t="s">
        <v>33</v>
      </c>
      <c r="E47" t="str">
        <f t="shared" si="0"/>
        <v>AA2S (MIL-001-549)</v>
      </c>
      <c r="F47" s="1" t="s">
        <v>298</v>
      </c>
      <c r="G47" t="s">
        <v>579</v>
      </c>
    </row>
    <row r="48" spans="2:7">
      <c r="B48">
        <f t="shared" si="1"/>
        <v>70</v>
      </c>
      <c r="C48" t="s">
        <v>262</v>
      </c>
      <c r="D48" t="s">
        <v>15</v>
      </c>
      <c r="E48" t="str">
        <f t="shared" si="0"/>
        <v>AA3C (MIL-001-535)</v>
      </c>
      <c r="F48" s="1" t="s">
        <v>283</v>
      </c>
      <c r="G48" t="s">
        <v>580</v>
      </c>
    </row>
    <row r="49" spans="2:7">
      <c r="B49">
        <f t="shared" si="1"/>
        <v>70</v>
      </c>
      <c r="C49" t="s">
        <v>262</v>
      </c>
      <c r="D49" t="s">
        <v>16</v>
      </c>
      <c r="E49" t="str">
        <f t="shared" si="0"/>
        <v>AA3Y (MIL-001-536)</v>
      </c>
      <c r="F49" s="1" t="s">
        <v>284</v>
      </c>
      <c r="G49" t="s">
        <v>581</v>
      </c>
    </row>
    <row r="50" spans="2:7">
      <c r="B50">
        <f t="shared" si="1"/>
        <v>70</v>
      </c>
      <c r="C50" t="s">
        <v>262</v>
      </c>
      <c r="D50" t="s">
        <v>17</v>
      </c>
      <c r="E50" t="str">
        <f t="shared" si="0"/>
        <v>AA4J (MIL-001-537)</v>
      </c>
      <c r="F50" s="1" t="s">
        <v>285</v>
      </c>
      <c r="G50" t="s">
        <v>582</v>
      </c>
    </row>
    <row r="51" spans="2:7">
      <c r="B51">
        <f t="shared" si="1"/>
        <v>70</v>
      </c>
      <c r="C51" t="s">
        <v>262</v>
      </c>
      <c r="D51" t="s">
        <v>34</v>
      </c>
      <c r="E51" t="str">
        <f t="shared" si="0"/>
        <v>AA44 (MIL-001-553)</v>
      </c>
      <c r="F51" s="1" t="s">
        <v>299</v>
      </c>
      <c r="G51" t="s">
        <v>583</v>
      </c>
    </row>
    <row r="52" spans="2:7">
      <c r="B52">
        <f t="shared" si="1"/>
        <v>70</v>
      </c>
      <c r="C52" t="s">
        <v>262</v>
      </c>
      <c r="D52" t="s">
        <v>35</v>
      </c>
      <c r="E52" t="str">
        <f t="shared" si="0"/>
        <v>AA5Q (MIL-001-554)</v>
      </c>
      <c r="F52" s="1" t="s">
        <v>300</v>
      </c>
      <c r="G52" t="s">
        <v>584</v>
      </c>
    </row>
    <row r="53" spans="2:7">
      <c r="B53">
        <f t="shared" si="1"/>
        <v>70</v>
      </c>
      <c r="C53" t="s">
        <v>262</v>
      </c>
      <c r="D53" t="s">
        <v>36</v>
      </c>
      <c r="E53" t="str">
        <f t="shared" si="0"/>
        <v>AA6A (MIL-001-556)</v>
      </c>
      <c r="F53" s="1" t="s">
        <v>301</v>
      </c>
      <c r="G53" t="s">
        <v>585</v>
      </c>
    </row>
    <row r="54" spans="2:7">
      <c r="B54">
        <f t="shared" si="1"/>
        <v>70</v>
      </c>
      <c r="C54" t="s">
        <v>262</v>
      </c>
      <c r="D54" t="s">
        <v>37</v>
      </c>
      <c r="E54" t="str">
        <f t="shared" si="0"/>
        <v>AA6W (MIL-001-557)</v>
      </c>
      <c r="F54" s="1" t="s">
        <v>302</v>
      </c>
      <c r="G54" t="s">
        <v>586</v>
      </c>
    </row>
    <row r="55" spans="2:7">
      <c r="B55">
        <f t="shared" si="1"/>
        <v>69</v>
      </c>
      <c r="C55" t="s">
        <v>11</v>
      </c>
      <c r="D55" t="s">
        <v>41</v>
      </c>
      <c r="E55" t="str">
        <f t="shared" si="0"/>
        <v>AA7G (MIL-001-497)</v>
      </c>
      <c r="F55" s="1" t="s">
        <v>306</v>
      </c>
      <c r="G55" t="s">
        <v>587</v>
      </c>
    </row>
    <row r="56" spans="2:7">
      <c r="B56">
        <f t="shared" si="1"/>
        <v>69</v>
      </c>
      <c r="C56" t="s">
        <v>11</v>
      </c>
      <c r="D56" t="s">
        <v>42</v>
      </c>
      <c r="E56" t="str">
        <f t="shared" si="0"/>
        <v>AA72 (MIL-001-496)</v>
      </c>
      <c r="F56" s="1" t="s">
        <v>307</v>
      </c>
      <c r="G56" t="s">
        <v>588</v>
      </c>
    </row>
    <row r="57" spans="2:7">
      <c r="B57">
        <f t="shared" si="1"/>
        <v>69</v>
      </c>
      <c r="C57" t="s">
        <v>11</v>
      </c>
      <c r="D57" t="s">
        <v>43</v>
      </c>
      <c r="E57" t="str">
        <f t="shared" si="0"/>
        <v>AA8N (MIL-001-511)</v>
      </c>
      <c r="F57" s="1" t="s">
        <v>308</v>
      </c>
      <c r="G57" t="s">
        <v>589</v>
      </c>
    </row>
    <row r="58" spans="2:7">
      <c r="B58">
        <f t="shared" si="1"/>
        <v>69</v>
      </c>
      <c r="C58" t="s">
        <v>11</v>
      </c>
      <c r="D58" t="s">
        <v>44</v>
      </c>
      <c r="E58" t="str">
        <f t="shared" si="0"/>
        <v>AA88 (MIL-001-500)</v>
      </c>
      <c r="F58" s="1" t="s">
        <v>309</v>
      </c>
      <c r="G58" t="s">
        <v>590</v>
      </c>
    </row>
    <row r="59" spans="2:7">
      <c r="B59">
        <f t="shared" si="1"/>
        <v>69</v>
      </c>
      <c r="C59" t="s">
        <v>11</v>
      </c>
      <c r="D59" t="s">
        <v>45</v>
      </c>
      <c r="E59" t="str">
        <f t="shared" si="0"/>
        <v>AA9U (MIL-001-507)</v>
      </c>
      <c r="F59" s="1" t="s">
        <v>310</v>
      </c>
      <c r="G59" t="s">
        <v>591</v>
      </c>
    </row>
    <row r="60" spans="2:7">
      <c r="B60">
        <f t="shared" si="1"/>
        <v>69</v>
      </c>
      <c r="C60" t="s">
        <v>11</v>
      </c>
      <c r="D60" t="s">
        <v>46</v>
      </c>
      <c r="E60" t="str">
        <f t="shared" si="0"/>
        <v>ABAE (MIL-001-555)</v>
      </c>
      <c r="F60" s="1" t="s">
        <v>311</v>
      </c>
      <c r="G60" t="s">
        <v>592</v>
      </c>
    </row>
    <row r="61" spans="2:7">
      <c r="B61">
        <f t="shared" si="1"/>
        <v>70</v>
      </c>
      <c r="C61" t="s">
        <v>262</v>
      </c>
      <c r="D61" t="s">
        <v>47</v>
      </c>
      <c r="E61" t="str">
        <f t="shared" si="0"/>
        <v>ABA0 (MIL-001-503)</v>
      </c>
      <c r="F61" s="1" t="s">
        <v>312</v>
      </c>
      <c r="G61" t="s">
        <v>593</v>
      </c>
    </row>
    <row r="62" spans="2:7">
      <c r="B62">
        <f t="shared" si="1"/>
        <v>70</v>
      </c>
      <c r="C62" t="s">
        <v>262</v>
      </c>
      <c r="D62" t="s">
        <v>48</v>
      </c>
      <c r="E62" t="str">
        <f t="shared" si="0"/>
        <v>ABBL (MIL-001-558)</v>
      </c>
      <c r="F62" s="1" t="s">
        <v>313</v>
      </c>
      <c r="G62" t="s">
        <v>594</v>
      </c>
    </row>
    <row r="63" spans="2:7">
      <c r="B63">
        <f t="shared" si="1"/>
        <v>70</v>
      </c>
      <c r="C63" t="s">
        <v>262</v>
      </c>
      <c r="D63" t="s">
        <v>49</v>
      </c>
      <c r="E63" t="str">
        <f t="shared" si="0"/>
        <v>ABB6 (MIL-001-560)</v>
      </c>
      <c r="F63" s="1" t="s">
        <v>314</v>
      </c>
      <c r="G63" t="s">
        <v>595</v>
      </c>
    </row>
    <row r="64" spans="2:7">
      <c r="B64">
        <f t="shared" si="1"/>
        <v>70</v>
      </c>
      <c r="C64" t="s">
        <v>262</v>
      </c>
      <c r="D64" t="s">
        <v>16</v>
      </c>
      <c r="E64" t="str">
        <f t="shared" si="0"/>
        <v>ABCS (MIL-001-536)</v>
      </c>
      <c r="F64" s="1" t="s">
        <v>284</v>
      </c>
      <c r="G64" t="s">
        <v>596</v>
      </c>
    </row>
    <row r="65" spans="2:7">
      <c r="B65">
        <f t="shared" si="1"/>
        <v>70</v>
      </c>
      <c r="C65" t="s">
        <v>262</v>
      </c>
      <c r="D65" t="s">
        <v>50</v>
      </c>
      <c r="E65" t="str">
        <f t="shared" si="0"/>
        <v>ABDC (MIL-001-562)</v>
      </c>
      <c r="F65" s="1" t="s">
        <v>315</v>
      </c>
      <c r="G65" t="s">
        <v>597</v>
      </c>
    </row>
    <row r="66" spans="2:7">
      <c r="B66">
        <f t="shared" ref="B66:B129" si="2">CODE(C66)</f>
        <v>70</v>
      </c>
      <c r="C66" t="s">
        <v>262</v>
      </c>
      <c r="D66" t="s">
        <v>51</v>
      </c>
      <c r="E66" t="str">
        <f t="shared" ref="E66:E129" si="3">G66&amp;"(" &amp; D66 &amp; ")"</f>
        <v>ABDY (MIL-001-574)</v>
      </c>
      <c r="F66" s="1" t="s">
        <v>316</v>
      </c>
      <c r="G66" t="s">
        <v>598</v>
      </c>
    </row>
    <row r="67" spans="2:7">
      <c r="B67">
        <f t="shared" si="2"/>
        <v>70</v>
      </c>
      <c r="C67" t="s">
        <v>262</v>
      </c>
      <c r="D67" t="s">
        <v>52</v>
      </c>
      <c r="E67" t="str">
        <f t="shared" si="3"/>
        <v>ABEJ (MIL-001-564)</v>
      </c>
      <c r="F67" s="1" t="s">
        <v>317</v>
      </c>
      <c r="G67" t="s">
        <v>599</v>
      </c>
    </row>
    <row r="68" spans="2:7">
      <c r="B68">
        <f t="shared" si="2"/>
        <v>70</v>
      </c>
      <c r="C68" t="s">
        <v>262</v>
      </c>
      <c r="D68" t="s">
        <v>53</v>
      </c>
      <c r="E68" t="str">
        <f t="shared" si="3"/>
        <v>ABE4 (MIL-001-565)</v>
      </c>
      <c r="F68" s="1" t="s">
        <v>318</v>
      </c>
      <c r="G68" t="s">
        <v>600</v>
      </c>
    </row>
    <row r="69" spans="2:7">
      <c r="B69">
        <f t="shared" si="2"/>
        <v>70</v>
      </c>
      <c r="C69" t="s">
        <v>262</v>
      </c>
      <c r="D69" t="s">
        <v>54</v>
      </c>
      <c r="E69" t="str">
        <f t="shared" si="3"/>
        <v>ABFQ (MIL-001-563)</v>
      </c>
      <c r="F69" s="1" t="s">
        <v>319</v>
      </c>
      <c r="G69" t="s">
        <v>601</v>
      </c>
    </row>
    <row r="70" spans="2:7">
      <c r="B70">
        <f t="shared" si="2"/>
        <v>70</v>
      </c>
      <c r="C70" t="s">
        <v>262</v>
      </c>
      <c r="D70" t="s">
        <v>55</v>
      </c>
      <c r="E70" t="str">
        <f t="shared" si="3"/>
        <v>ABGA (MIL-001-566)</v>
      </c>
      <c r="F70" s="1" t="s">
        <v>320</v>
      </c>
      <c r="G70" t="s">
        <v>602</v>
      </c>
    </row>
    <row r="71" spans="2:7">
      <c r="B71">
        <f t="shared" si="2"/>
        <v>70</v>
      </c>
      <c r="C71" t="s">
        <v>262</v>
      </c>
      <c r="D71" t="s">
        <v>56</v>
      </c>
      <c r="E71" t="str">
        <f t="shared" si="3"/>
        <v>ABGW (MIL-001-567)</v>
      </c>
      <c r="F71" s="1" t="s">
        <v>321</v>
      </c>
      <c r="G71" t="s">
        <v>603</v>
      </c>
    </row>
    <row r="72" spans="2:7">
      <c r="B72">
        <f t="shared" si="2"/>
        <v>70</v>
      </c>
      <c r="C72" t="s">
        <v>262</v>
      </c>
      <c r="D72" t="s">
        <v>57</v>
      </c>
      <c r="E72" t="str">
        <f t="shared" si="3"/>
        <v>ABHG (MIL-001-568)</v>
      </c>
      <c r="F72" s="1" t="s">
        <v>322</v>
      </c>
      <c r="G72" t="s">
        <v>604</v>
      </c>
    </row>
    <row r="73" spans="2:7">
      <c r="B73">
        <f t="shared" si="2"/>
        <v>70</v>
      </c>
      <c r="C73" t="s">
        <v>262</v>
      </c>
      <c r="D73" t="s">
        <v>58</v>
      </c>
      <c r="E73" t="str">
        <f t="shared" si="3"/>
        <v>ABH2 (MIL-001-569)</v>
      </c>
      <c r="F73" s="1" t="s">
        <v>323</v>
      </c>
      <c r="G73" t="s">
        <v>605</v>
      </c>
    </row>
    <row r="74" spans="2:7">
      <c r="B74">
        <f t="shared" si="2"/>
        <v>70</v>
      </c>
      <c r="C74" t="s">
        <v>262</v>
      </c>
      <c r="D74" t="s">
        <v>59</v>
      </c>
      <c r="E74" t="str">
        <f t="shared" si="3"/>
        <v>ABJN (MIL-001-570)</v>
      </c>
      <c r="F74" s="1" t="s">
        <v>324</v>
      </c>
      <c r="G74" t="s">
        <v>606</v>
      </c>
    </row>
    <row r="75" spans="2:7">
      <c r="B75">
        <f t="shared" si="2"/>
        <v>70</v>
      </c>
      <c r="C75" t="s">
        <v>262</v>
      </c>
      <c r="D75" t="s">
        <v>60</v>
      </c>
      <c r="E75" t="str">
        <f t="shared" si="3"/>
        <v>ABJ8 (MIL-001-591)</v>
      </c>
      <c r="F75" s="1" t="s">
        <v>325</v>
      </c>
      <c r="G75" t="s">
        <v>607</v>
      </c>
    </row>
    <row r="76" spans="2:7">
      <c r="B76">
        <f t="shared" si="2"/>
        <v>70</v>
      </c>
      <c r="C76" t="s">
        <v>262</v>
      </c>
      <c r="D76" t="s">
        <v>61</v>
      </c>
      <c r="E76" t="str">
        <f t="shared" si="3"/>
        <v>ABKU (MIL-001-559)</v>
      </c>
      <c r="F76" s="1" t="s">
        <v>326</v>
      </c>
      <c r="G76" t="s">
        <v>608</v>
      </c>
    </row>
    <row r="77" spans="2:7">
      <c r="B77">
        <f t="shared" si="2"/>
        <v>69</v>
      </c>
      <c r="C77" t="s">
        <v>11</v>
      </c>
      <c r="D77" t="s">
        <v>62</v>
      </c>
      <c r="E77" t="str">
        <f t="shared" si="3"/>
        <v>ABLE (MIL-001-508)</v>
      </c>
      <c r="F77" s="1" t="s">
        <v>327</v>
      </c>
      <c r="G77" t="s">
        <v>609</v>
      </c>
    </row>
    <row r="78" spans="2:7">
      <c r="B78">
        <f t="shared" si="2"/>
        <v>69</v>
      </c>
      <c r="C78" t="s">
        <v>11</v>
      </c>
      <c r="D78" t="s">
        <v>63</v>
      </c>
      <c r="E78" t="str">
        <f t="shared" si="3"/>
        <v>ABL0 (MIL-001-509)</v>
      </c>
      <c r="F78" s="1" t="s">
        <v>328</v>
      </c>
      <c r="G78" t="s">
        <v>610</v>
      </c>
    </row>
    <row r="79" spans="2:7">
      <c r="B79">
        <f t="shared" si="2"/>
        <v>69</v>
      </c>
      <c r="C79" t="s">
        <v>11</v>
      </c>
      <c r="D79" t="s">
        <v>64</v>
      </c>
      <c r="E79" t="str">
        <f t="shared" si="3"/>
        <v>ABML (MIL-001-502)</v>
      </c>
      <c r="F79" s="1" t="s">
        <v>329</v>
      </c>
      <c r="G79" t="s">
        <v>611</v>
      </c>
    </row>
    <row r="80" spans="2:7">
      <c r="B80">
        <f t="shared" si="2"/>
        <v>69</v>
      </c>
      <c r="C80" t="s">
        <v>11</v>
      </c>
      <c r="D80" t="s">
        <v>65</v>
      </c>
      <c r="E80" t="str">
        <f t="shared" si="3"/>
        <v>ABM6 (MIL-001-241)</v>
      </c>
      <c r="F80" s="1" t="s">
        <v>330</v>
      </c>
      <c r="G80" t="s">
        <v>612</v>
      </c>
    </row>
    <row r="81" spans="2:7">
      <c r="B81">
        <f t="shared" si="2"/>
        <v>69</v>
      </c>
      <c r="C81" t="s">
        <v>11</v>
      </c>
      <c r="D81" t="s">
        <v>66</v>
      </c>
      <c r="E81" t="str">
        <f t="shared" si="3"/>
        <v>ABNS (MIL-001-561)</v>
      </c>
      <c r="F81" s="1" t="s">
        <v>331</v>
      </c>
      <c r="G81" t="s">
        <v>613</v>
      </c>
    </row>
    <row r="82" spans="2:7">
      <c r="B82">
        <f t="shared" si="2"/>
        <v>69</v>
      </c>
      <c r="C82" t="s">
        <v>11</v>
      </c>
      <c r="D82" t="s">
        <v>67</v>
      </c>
      <c r="E82" t="str">
        <f t="shared" si="3"/>
        <v>ABPC (MIL-001-572)</v>
      </c>
      <c r="F82" s="1" t="s">
        <v>332</v>
      </c>
      <c r="G82" t="s">
        <v>614</v>
      </c>
    </row>
    <row r="83" spans="2:7">
      <c r="B83">
        <f t="shared" si="2"/>
        <v>69</v>
      </c>
      <c r="C83" t="s">
        <v>11</v>
      </c>
      <c r="D83" t="s">
        <v>52</v>
      </c>
      <c r="E83" t="str">
        <f t="shared" si="3"/>
        <v>ABPY (MIL-001-564)</v>
      </c>
      <c r="F83" s="1" t="s">
        <v>317</v>
      </c>
      <c r="G83" t="s">
        <v>615</v>
      </c>
    </row>
    <row r="84" spans="2:7">
      <c r="B84">
        <f t="shared" si="2"/>
        <v>69</v>
      </c>
      <c r="C84" t="s">
        <v>11</v>
      </c>
      <c r="D84" t="s">
        <v>51</v>
      </c>
      <c r="E84" t="str">
        <f t="shared" si="3"/>
        <v>ABQJ (MIL-001-574)</v>
      </c>
      <c r="F84" s="1" t="s">
        <v>333</v>
      </c>
      <c r="G84" t="s">
        <v>616</v>
      </c>
    </row>
    <row r="85" spans="2:7">
      <c r="B85">
        <f t="shared" si="2"/>
        <v>69</v>
      </c>
      <c r="C85" t="s">
        <v>11</v>
      </c>
      <c r="D85" t="s">
        <v>68</v>
      </c>
      <c r="E85" t="str">
        <f t="shared" si="3"/>
        <v>ABQ4 (MIL-001-583)</v>
      </c>
      <c r="F85" s="1" t="s">
        <v>287</v>
      </c>
      <c r="G85" t="s">
        <v>617</v>
      </c>
    </row>
    <row r="86" spans="2:7">
      <c r="B86">
        <f t="shared" si="2"/>
        <v>69</v>
      </c>
      <c r="C86" t="s">
        <v>11</v>
      </c>
      <c r="D86" t="s">
        <v>69</v>
      </c>
      <c r="E86" t="str">
        <f t="shared" si="3"/>
        <v>ABRQ (MIL-001-575)</v>
      </c>
      <c r="F86" s="1" t="s">
        <v>332</v>
      </c>
      <c r="G86" t="s">
        <v>618</v>
      </c>
    </row>
    <row r="87" spans="2:7">
      <c r="B87">
        <f t="shared" si="2"/>
        <v>69</v>
      </c>
      <c r="C87" t="s">
        <v>11</v>
      </c>
      <c r="D87" t="s">
        <v>70</v>
      </c>
      <c r="E87" t="str">
        <f t="shared" si="3"/>
        <v>ABSA (MIL-001-576)</v>
      </c>
      <c r="F87" s="1" t="s">
        <v>334</v>
      </c>
      <c r="G87" t="s">
        <v>619</v>
      </c>
    </row>
    <row r="88" spans="2:7">
      <c r="B88">
        <f t="shared" si="2"/>
        <v>69</v>
      </c>
      <c r="C88" t="s">
        <v>11</v>
      </c>
      <c r="D88" t="s">
        <v>57</v>
      </c>
      <c r="E88" t="str">
        <f t="shared" si="3"/>
        <v>ABSW (MIL-001-568)</v>
      </c>
      <c r="F88" s="1" t="s">
        <v>335</v>
      </c>
      <c r="G88" t="s">
        <v>620</v>
      </c>
    </row>
    <row r="89" spans="2:7">
      <c r="B89">
        <f t="shared" si="2"/>
        <v>69</v>
      </c>
      <c r="C89" t="s">
        <v>11</v>
      </c>
      <c r="D89" t="s">
        <v>71</v>
      </c>
      <c r="E89" t="str">
        <f t="shared" si="3"/>
        <v>ABTG (MIL-001-552)</v>
      </c>
      <c r="F89" s="1" t="s">
        <v>336</v>
      </c>
      <c r="G89" t="s">
        <v>621</v>
      </c>
    </row>
    <row r="90" spans="2:7">
      <c r="B90">
        <f t="shared" si="2"/>
        <v>69</v>
      </c>
      <c r="C90" t="s">
        <v>11</v>
      </c>
      <c r="D90" t="s">
        <v>72</v>
      </c>
      <c r="E90" t="str">
        <f t="shared" si="3"/>
        <v>ABT2 (MIL-001-586)</v>
      </c>
      <c r="F90" s="1" t="s">
        <v>337</v>
      </c>
      <c r="G90" t="s">
        <v>622</v>
      </c>
    </row>
    <row r="91" spans="2:7">
      <c r="B91">
        <f t="shared" si="2"/>
        <v>69</v>
      </c>
      <c r="C91" t="s">
        <v>11</v>
      </c>
      <c r="D91" t="s">
        <v>73</v>
      </c>
      <c r="E91" t="str">
        <f t="shared" si="3"/>
        <v>ABUN (MIL-001-585)</v>
      </c>
      <c r="F91" s="1" t="s">
        <v>338</v>
      </c>
      <c r="G91" t="s">
        <v>623</v>
      </c>
    </row>
    <row r="92" spans="2:7">
      <c r="B92">
        <f t="shared" si="2"/>
        <v>69</v>
      </c>
      <c r="C92" t="s">
        <v>11</v>
      </c>
      <c r="D92" t="s">
        <v>74</v>
      </c>
      <c r="E92" t="str">
        <f t="shared" si="3"/>
        <v>ABU8 (MIL-001-584)</v>
      </c>
      <c r="F92" s="1" t="s">
        <v>339</v>
      </c>
      <c r="G92" t="s">
        <v>624</v>
      </c>
    </row>
    <row r="93" spans="2:7">
      <c r="B93">
        <f t="shared" si="2"/>
        <v>69</v>
      </c>
      <c r="C93" t="s">
        <v>11</v>
      </c>
      <c r="D93" t="s">
        <v>75</v>
      </c>
      <c r="E93" t="str">
        <f t="shared" si="3"/>
        <v>ABVU (MIL-001-501)</v>
      </c>
      <c r="F93" s="1" t="s">
        <v>340</v>
      </c>
      <c r="G93" t="s">
        <v>625</v>
      </c>
    </row>
    <row r="94" spans="2:7">
      <c r="B94">
        <f t="shared" si="2"/>
        <v>69</v>
      </c>
      <c r="C94" t="s">
        <v>11</v>
      </c>
      <c r="D94" t="s">
        <v>76</v>
      </c>
      <c r="E94" t="str">
        <f t="shared" si="3"/>
        <v>ABWE (MIL-001-595)</v>
      </c>
      <c r="F94" s="1" t="s">
        <v>341</v>
      </c>
      <c r="G94" t="s">
        <v>626</v>
      </c>
    </row>
    <row r="95" spans="2:7">
      <c r="B95">
        <f t="shared" si="2"/>
        <v>69</v>
      </c>
      <c r="C95" t="s">
        <v>11</v>
      </c>
      <c r="D95" t="s">
        <v>77</v>
      </c>
      <c r="E95" t="str">
        <f t="shared" si="3"/>
        <v>ABW0 (MIL-001-596)</v>
      </c>
      <c r="F95" s="1" t="s">
        <v>342</v>
      </c>
      <c r="G95" t="s">
        <v>627</v>
      </c>
    </row>
    <row r="96" spans="2:7">
      <c r="B96">
        <f t="shared" si="2"/>
        <v>68</v>
      </c>
      <c r="C96" t="s">
        <v>7</v>
      </c>
      <c r="D96" t="s">
        <v>78</v>
      </c>
      <c r="E96" t="str">
        <f t="shared" si="3"/>
        <v>ABXL (MIL-001-085)</v>
      </c>
      <c r="F96" s="6" t="s">
        <v>343</v>
      </c>
      <c r="G96" t="s">
        <v>628</v>
      </c>
    </row>
    <row r="97" spans="2:7">
      <c r="B97">
        <f t="shared" si="2"/>
        <v>68</v>
      </c>
      <c r="C97" t="s">
        <v>7</v>
      </c>
      <c r="D97" t="s">
        <v>79</v>
      </c>
      <c r="E97" t="str">
        <f t="shared" si="3"/>
        <v>ABX6 (MIL-001-107)</v>
      </c>
      <c r="F97" s="6" t="s">
        <v>344</v>
      </c>
      <c r="G97" t="s">
        <v>629</v>
      </c>
    </row>
    <row r="98" spans="2:7">
      <c r="B98">
        <f t="shared" si="2"/>
        <v>68</v>
      </c>
      <c r="C98" t="s">
        <v>7</v>
      </c>
      <c r="D98" t="s">
        <v>80</v>
      </c>
      <c r="E98" t="str">
        <f t="shared" si="3"/>
        <v>ABYS (MIL-001-108)</v>
      </c>
      <c r="F98" s="6" t="s">
        <v>345</v>
      </c>
      <c r="G98" t="s">
        <v>630</v>
      </c>
    </row>
    <row r="99" spans="2:7">
      <c r="B99">
        <f t="shared" si="2"/>
        <v>68</v>
      </c>
      <c r="C99" t="s">
        <v>7</v>
      </c>
      <c r="D99" t="s">
        <v>81</v>
      </c>
      <c r="E99" t="str">
        <f t="shared" si="3"/>
        <v>ABZC (MIL-001-176)</v>
      </c>
      <c r="F99" s="6" t="s">
        <v>346</v>
      </c>
      <c r="G99" t="s">
        <v>631</v>
      </c>
    </row>
    <row r="100" spans="2:7">
      <c r="B100">
        <f t="shared" si="2"/>
        <v>68</v>
      </c>
      <c r="C100" t="s">
        <v>7</v>
      </c>
      <c r="D100" t="s">
        <v>82</v>
      </c>
      <c r="E100" t="str">
        <f t="shared" si="3"/>
        <v>ABZY (MIL-001-779)</v>
      </c>
      <c r="F100" s="7" t="s">
        <v>347</v>
      </c>
      <c r="G100" t="s">
        <v>632</v>
      </c>
    </row>
    <row r="101" spans="2:7">
      <c r="B101">
        <f t="shared" si="2"/>
        <v>68</v>
      </c>
      <c r="C101" t="s">
        <v>7</v>
      </c>
      <c r="D101" t="s">
        <v>83</v>
      </c>
      <c r="E101" t="str">
        <f t="shared" si="3"/>
        <v>AB0J (MIL-001-859)</v>
      </c>
      <c r="F101" s="7" t="s">
        <v>348</v>
      </c>
      <c r="G101" t="s">
        <v>633</v>
      </c>
    </row>
    <row r="102" spans="2:7">
      <c r="B102">
        <f t="shared" si="2"/>
        <v>69</v>
      </c>
      <c r="C102" t="s">
        <v>11</v>
      </c>
      <c r="D102" t="s">
        <v>84</v>
      </c>
      <c r="E102" t="str">
        <f t="shared" si="3"/>
        <v>AB04 (MIL-001-801)</v>
      </c>
      <c r="F102" s="7" t="s">
        <v>349</v>
      </c>
      <c r="G102" t="s">
        <v>634</v>
      </c>
    </row>
    <row r="103" spans="2:7">
      <c r="B103">
        <f t="shared" si="2"/>
        <v>69</v>
      </c>
      <c r="C103" t="s">
        <v>11</v>
      </c>
      <c r="D103" t="s">
        <v>85</v>
      </c>
      <c r="E103" t="str">
        <f t="shared" si="3"/>
        <v>AB1Q (MIL-001-571)</v>
      </c>
      <c r="F103" s="7" t="s">
        <v>325</v>
      </c>
      <c r="G103" t="s">
        <v>635</v>
      </c>
    </row>
    <row r="104" spans="2:7">
      <c r="B104">
        <f t="shared" si="2"/>
        <v>69</v>
      </c>
      <c r="C104" t="s">
        <v>11</v>
      </c>
      <c r="D104" t="s">
        <v>86</v>
      </c>
      <c r="E104" t="str">
        <f t="shared" si="3"/>
        <v>AB2A (MIL-001-846)</v>
      </c>
      <c r="F104" s="7" t="s">
        <v>350</v>
      </c>
      <c r="G104" t="s">
        <v>636</v>
      </c>
    </row>
    <row r="105" spans="2:7">
      <c r="B105">
        <f t="shared" si="2"/>
        <v>68</v>
      </c>
      <c r="C105" t="s">
        <v>7</v>
      </c>
      <c r="D105" t="s">
        <v>87</v>
      </c>
      <c r="E105" t="str">
        <f t="shared" si="3"/>
        <v>AB2W (MIL-001-261)</v>
      </c>
      <c r="F105" s="6" t="s">
        <v>351</v>
      </c>
      <c r="G105" t="s">
        <v>637</v>
      </c>
    </row>
    <row r="106" spans="2:7">
      <c r="B106">
        <f t="shared" si="2"/>
        <v>67</v>
      </c>
      <c r="C106" t="s">
        <v>5</v>
      </c>
      <c r="D106" t="s">
        <v>88</v>
      </c>
      <c r="E106" t="str">
        <f t="shared" si="3"/>
        <v>AB3G (MIL-001-618)</v>
      </c>
      <c r="F106" s="8" t="s">
        <v>352</v>
      </c>
      <c r="G106" t="s">
        <v>638</v>
      </c>
    </row>
    <row r="107" spans="2:7">
      <c r="B107">
        <f t="shared" si="2"/>
        <v>67</v>
      </c>
      <c r="C107" t="s">
        <v>5</v>
      </c>
      <c r="D107" t="s">
        <v>89</v>
      </c>
      <c r="E107" t="str">
        <f t="shared" si="3"/>
        <v>AB32 (MIL-001-619)</v>
      </c>
      <c r="F107" s="8" t="s">
        <v>353</v>
      </c>
      <c r="G107" t="s">
        <v>639</v>
      </c>
    </row>
    <row r="108" spans="2:7">
      <c r="B108">
        <f t="shared" si="2"/>
        <v>67</v>
      </c>
      <c r="C108" t="s">
        <v>5</v>
      </c>
      <c r="D108" t="s">
        <v>90</v>
      </c>
      <c r="E108" t="str">
        <f t="shared" si="3"/>
        <v>AB4N (MIL-001-759)</v>
      </c>
      <c r="F108" s="8" t="s">
        <v>354</v>
      </c>
      <c r="G108" t="s">
        <v>640</v>
      </c>
    </row>
    <row r="109" spans="2:7">
      <c r="B109">
        <f t="shared" si="2"/>
        <v>67</v>
      </c>
      <c r="C109" t="s">
        <v>5</v>
      </c>
      <c r="D109" t="s">
        <v>91</v>
      </c>
      <c r="E109" t="str">
        <f t="shared" si="3"/>
        <v>AB48 (MIL-001-763)</v>
      </c>
      <c r="F109" s="8" t="s">
        <v>355</v>
      </c>
      <c r="G109" t="s">
        <v>641</v>
      </c>
    </row>
    <row r="110" spans="2:7">
      <c r="B110">
        <f t="shared" si="2"/>
        <v>67</v>
      </c>
      <c r="C110" t="s">
        <v>5</v>
      </c>
      <c r="D110" t="s">
        <v>92</v>
      </c>
      <c r="E110" t="str">
        <f t="shared" si="3"/>
        <v>AB5U (MIL-001-904)</v>
      </c>
      <c r="F110" s="6" t="s">
        <v>356</v>
      </c>
      <c r="G110" t="s">
        <v>642</v>
      </c>
    </row>
    <row r="111" spans="2:7">
      <c r="B111">
        <f t="shared" si="2"/>
        <v>67</v>
      </c>
      <c r="C111" t="s">
        <v>5</v>
      </c>
      <c r="D111" t="s">
        <v>93</v>
      </c>
      <c r="E111" t="str">
        <f t="shared" si="3"/>
        <v>AB6E (MIL-001-905)</v>
      </c>
      <c r="F111" s="6" t="s">
        <v>357</v>
      </c>
      <c r="G111" t="s">
        <v>643</v>
      </c>
    </row>
    <row r="112" spans="2:7">
      <c r="B112">
        <f t="shared" si="2"/>
        <v>67</v>
      </c>
      <c r="C112" t="s">
        <v>5</v>
      </c>
      <c r="D112" t="s">
        <v>94</v>
      </c>
      <c r="E112" t="str">
        <f t="shared" si="3"/>
        <v>AB60 (MIL-001-047)</v>
      </c>
      <c r="F112" s="6" t="s">
        <v>358</v>
      </c>
      <c r="G112" t="s">
        <v>644</v>
      </c>
    </row>
    <row r="113" spans="2:7">
      <c r="B113">
        <f t="shared" si="2"/>
        <v>68</v>
      </c>
      <c r="C113" t="s">
        <v>7</v>
      </c>
      <c r="D113" t="s">
        <v>95</v>
      </c>
      <c r="E113" t="str">
        <f t="shared" si="3"/>
        <v>AB7L (MIL-001-870)</v>
      </c>
      <c r="F113" s="6" t="s">
        <v>359</v>
      </c>
      <c r="G113" t="s">
        <v>645</v>
      </c>
    </row>
    <row r="114" spans="2:7">
      <c r="B114">
        <f t="shared" si="2"/>
        <v>68</v>
      </c>
      <c r="C114" t="s">
        <v>7</v>
      </c>
      <c r="D114" t="s">
        <v>96</v>
      </c>
      <c r="E114" t="str">
        <f t="shared" si="3"/>
        <v>AB76 (MIL-001-869)</v>
      </c>
      <c r="F114" s="6" t="s">
        <v>360</v>
      </c>
      <c r="G114" t="s">
        <v>646</v>
      </c>
    </row>
    <row r="115" spans="2:7">
      <c r="B115">
        <f t="shared" si="2"/>
        <v>68</v>
      </c>
      <c r="C115" t="s">
        <v>7</v>
      </c>
      <c r="D115" t="s">
        <v>97</v>
      </c>
      <c r="E115" t="str">
        <f t="shared" si="3"/>
        <v>AB8S (MIL-001-781)</v>
      </c>
      <c r="F115" s="6" t="s">
        <v>361</v>
      </c>
      <c r="G115" t="s">
        <v>647</v>
      </c>
    </row>
    <row r="116" spans="2:7">
      <c r="B116">
        <f t="shared" si="2"/>
        <v>68</v>
      </c>
      <c r="C116" t="s">
        <v>7</v>
      </c>
      <c r="D116" t="s">
        <v>98</v>
      </c>
      <c r="E116" t="str">
        <f t="shared" si="3"/>
        <v>AB9C (MIL-001-211)</v>
      </c>
      <c r="F116" s="6" t="s">
        <v>362</v>
      </c>
      <c r="G116" t="s">
        <v>648</v>
      </c>
    </row>
    <row r="117" spans="2:7">
      <c r="B117">
        <f t="shared" si="2"/>
        <v>68</v>
      </c>
      <c r="C117" t="s">
        <v>7</v>
      </c>
      <c r="D117" t="s">
        <v>99</v>
      </c>
      <c r="E117" t="str">
        <f t="shared" si="3"/>
        <v>AB9Y (MIL-001-331)</v>
      </c>
      <c r="F117" s="6" t="s">
        <v>363</v>
      </c>
      <c r="G117" t="s">
        <v>649</v>
      </c>
    </row>
    <row r="118" spans="2:7">
      <c r="B118">
        <f t="shared" si="2"/>
        <v>68</v>
      </c>
      <c r="C118" t="s">
        <v>7</v>
      </c>
      <c r="D118" t="s">
        <v>100</v>
      </c>
      <c r="E118" t="str">
        <f t="shared" si="3"/>
        <v>ACAJ (MIL-001-424)</v>
      </c>
      <c r="F118" s="6" t="s">
        <v>364</v>
      </c>
      <c r="G118" t="s">
        <v>650</v>
      </c>
    </row>
    <row r="119" spans="2:7">
      <c r="B119">
        <f t="shared" si="2"/>
        <v>68</v>
      </c>
      <c r="C119" t="s">
        <v>7</v>
      </c>
      <c r="D119" t="s">
        <v>101</v>
      </c>
      <c r="E119" t="str">
        <f t="shared" si="3"/>
        <v>ACA4 (MIL-001-078)</v>
      </c>
      <c r="F119" s="6" t="s">
        <v>365</v>
      </c>
      <c r="G119" t="s">
        <v>651</v>
      </c>
    </row>
    <row r="120" spans="2:7">
      <c r="B120">
        <f t="shared" si="2"/>
        <v>68</v>
      </c>
      <c r="C120" t="s">
        <v>7</v>
      </c>
      <c r="D120" t="s">
        <v>102</v>
      </c>
      <c r="E120" t="str">
        <f t="shared" si="3"/>
        <v>ACBQ (MIL-001-206)</v>
      </c>
      <c r="F120" s="6" t="s">
        <v>366</v>
      </c>
      <c r="G120" t="s">
        <v>652</v>
      </c>
    </row>
    <row r="121" spans="2:7">
      <c r="B121">
        <f t="shared" si="2"/>
        <v>68</v>
      </c>
      <c r="C121" t="s">
        <v>7</v>
      </c>
      <c r="D121" t="s">
        <v>103</v>
      </c>
      <c r="E121" t="str">
        <f t="shared" si="3"/>
        <v>ACCA (MIL-001-430)</v>
      </c>
      <c r="F121" s="6" t="s">
        <v>367</v>
      </c>
      <c r="G121" t="s">
        <v>653</v>
      </c>
    </row>
    <row r="122" spans="2:7">
      <c r="B122">
        <f t="shared" si="2"/>
        <v>68</v>
      </c>
      <c r="C122" t="s">
        <v>7</v>
      </c>
      <c r="D122" t="s">
        <v>104</v>
      </c>
      <c r="E122" t="str">
        <f t="shared" si="3"/>
        <v>ACCW (MIL-001-431)</v>
      </c>
      <c r="F122" s="6" t="s">
        <v>368</v>
      </c>
      <c r="G122" t="s">
        <v>654</v>
      </c>
    </row>
    <row r="123" spans="2:7">
      <c r="B123">
        <f t="shared" si="2"/>
        <v>68</v>
      </c>
      <c r="C123" t="s">
        <v>7</v>
      </c>
      <c r="D123" t="s">
        <v>105</v>
      </c>
      <c r="E123" t="str">
        <f t="shared" si="3"/>
        <v>ACDG (MIL-001-376)</v>
      </c>
      <c r="F123" s="6" t="s">
        <v>369</v>
      </c>
      <c r="G123" t="s">
        <v>655</v>
      </c>
    </row>
    <row r="124" spans="2:7">
      <c r="B124">
        <f t="shared" si="2"/>
        <v>68</v>
      </c>
      <c r="C124" t="s">
        <v>7</v>
      </c>
      <c r="D124" t="s">
        <v>106</v>
      </c>
      <c r="E124" t="str">
        <f t="shared" si="3"/>
        <v>ACD2 (MIL-001-377)</v>
      </c>
      <c r="F124" s="6" t="s">
        <v>370</v>
      </c>
      <c r="G124" t="s">
        <v>656</v>
      </c>
    </row>
    <row r="125" spans="2:7">
      <c r="B125">
        <f t="shared" si="2"/>
        <v>68</v>
      </c>
      <c r="C125" t="s">
        <v>7</v>
      </c>
      <c r="D125" t="s">
        <v>107</v>
      </c>
      <c r="E125" t="str">
        <f t="shared" si="3"/>
        <v>ACEN (MIL-001-130)</v>
      </c>
      <c r="F125" s="6" t="s">
        <v>371</v>
      </c>
      <c r="G125" t="s">
        <v>657</v>
      </c>
    </row>
    <row r="126" spans="2:7">
      <c r="B126">
        <f t="shared" si="2"/>
        <v>68</v>
      </c>
      <c r="C126" t="s">
        <v>7</v>
      </c>
      <c r="D126" t="s">
        <v>108</v>
      </c>
      <c r="E126" t="str">
        <f t="shared" si="3"/>
        <v>ACE8 (MIL-001-378)</v>
      </c>
      <c r="F126" s="6" t="s">
        <v>372</v>
      </c>
      <c r="G126" t="s">
        <v>658</v>
      </c>
    </row>
    <row r="127" spans="2:7">
      <c r="B127">
        <f t="shared" si="2"/>
        <v>68</v>
      </c>
      <c r="C127" t="s">
        <v>7</v>
      </c>
      <c r="D127" t="s">
        <v>109</v>
      </c>
      <c r="E127" t="str">
        <f t="shared" si="3"/>
        <v>ACFU (MIL-001-379)</v>
      </c>
      <c r="F127" s="6" t="s">
        <v>373</v>
      </c>
      <c r="G127" t="s">
        <v>659</v>
      </c>
    </row>
    <row r="128" spans="2:7">
      <c r="B128">
        <f t="shared" si="2"/>
        <v>68</v>
      </c>
      <c r="C128" t="s">
        <v>7</v>
      </c>
      <c r="D128" t="s">
        <v>110</v>
      </c>
      <c r="E128" t="str">
        <f t="shared" si="3"/>
        <v>ACGE (MIL-001-222)</v>
      </c>
      <c r="F128" s="6" t="s">
        <v>374</v>
      </c>
      <c r="G128" t="s">
        <v>660</v>
      </c>
    </row>
    <row r="129" spans="2:7">
      <c r="B129">
        <f t="shared" si="2"/>
        <v>68</v>
      </c>
      <c r="C129" t="s">
        <v>7</v>
      </c>
      <c r="D129" t="s">
        <v>111</v>
      </c>
      <c r="E129" t="str">
        <f t="shared" si="3"/>
        <v>ACG0 (MIL-001-802)</v>
      </c>
      <c r="F129" s="6" t="s">
        <v>375</v>
      </c>
      <c r="G129" t="s">
        <v>661</v>
      </c>
    </row>
    <row r="130" spans="2:7">
      <c r="B130">
        <f t="shared" ref="B130:B193" si="4">CODE(C130)</f>
        <v>68</v>
      </c>
      <c r="C130" t="s">
        <v>7</v>
      </c>
      <c r="D130" t="s">
        <v>112</v>
      </c>
      <c r="E130" t="str">
        <f t="shared" ref="E130:E193" si="5">G130&amp;"(" &amp; D130 &amp; ")"</f>
        <v>ACHL (MIL-001-799)</v>
      </c>
      <c r="F130" s="6" t="s">
        <v>376</v>
      </c>
      <c r="G130" t="s">
        <v>662</v>
      </c>
    </row>
    <row r="131" spans="2:7">
      <c r="B131">
        <f t="shared" si="4"/>
        <v>68</v>
      </c>
      <c r="C131" t="s">
        <v>7</v>
      </c>
      <c r="D131" t="s">
        <v>113</v>
      </c>
      <c r="E131" t="str">
        <f t="shared" si="5"/>
        <v>ACH6 (MIL-001-223)</v>
      </c>
      <c r="F131" s="6" t="s">
        <v>377</v>
      </c>
      <c r="G131" t="s">
        <v>663</v>
      </c>
    </row>
    <row r="132" spans="2:7">
      <c r="B132">
        <f t="shared" si="4"/>
        <v>68</v>
      </c>
      <c r="C132" t="s">
        <v>7</v>
      </c>
      <c r="D132" t="s">
        <v>114</v>
      </c>
      <c r="E132" t="str">
        <f t="shared" si="5"/>
        <v>ACJS (MIL-001-340)</v>
      </c>
      <c r="F132" s="6" t="s">
        <v>378</v>
      </c>
      <c r="G132" t="s">
        <v>664</v>
      </c>
    </row>
    <row r="133" spans="2:7">
      <c r="B133">
        <f t="shared" si="4"/>
        <v>68</v>
      </c>
      <c r="C133" t="s">
        <v>7</v>
      </c>
      <c r="D133" t="s">
        <v>115</v>
      </c>
      <c r="E133" t="str">
        <f t="shared" si="5"/>
        <v>ACKC (MIL-001-761)</v>
      </c>
      <c r="F133" s="6" t="s">
        <v>379</v>
      </c>
      <c r="G133" t="s">
        <v>665</v>
      </c>
    </row>
    <row r="134" spans="2:7">
      <c r="B134">
        <f t="shared" si="4"/>
        <v>68</v>
      </c>
      <c r="C134" t="s">
        <v>7</v>
      </c>
      <c r="D134" t="s">
        <v>116</v>
      </c>
      <c r="E134" t="str">
        <f t="shared" si="5"/>
        <v>ACKY (MIL-001-197)</v>
      </c>
      <c r="F134" s="6" t="s">
        <v>380</v>
      </c>
      <c r="G134" t="s">
        <v>666</v>
      </c>
    </row>
    <row r="135" spans="2:7">
      <c r="B135">
        <f t="shared" si="4"/>
        <v>68</v>
      </c>
      <c r="C135" t="s">
        <v>7</v>
      </c>
      <c r="D135" t="s">
        <v>117</v>
      </c>
      <c r="E135" t="str">
        <f t="shared" si="5"/>
        <v>ACLJ (MIL-001-198)</v>
      </c>
      <c r="F135" s="6" t="s">
        <v>381</v>
      </c>
      <c r="G135" t="s">
        <v>667</v>
      </c>
    </row>
    <row r="136" spans="2:7">
      <c r="B136">
        <f t="shared" si="4"/>
        <v>68</v>
      </c>
      <c r="C136" t="s">
        <v>7</v>
      </c>
      <c r="D136" t="s">
        <v>118</v>
      </c>
      <c r="E136" t="str">
        <f t="shared" si="5"/>
        <v>ACL4 (MIL-001-199)</v>
      </c>
      <c r="F136" s="6" t="s">
        <v>382</v>
      </c>
      <c r="G136" t="s">
        <v>668</v>
      </c>
    </row>
    <row r="137" spans="2:7">
      <c r="B137">
        <f t="shared" si="4"/>
        <v>68</v>
      </c>
      <c r="C137" t="s">
        <v>7</v>
      </c>
      <c r="D137" t="s">
        <v>119</v>
      </c>
      <c r="E137" t="str">
        <f t="shared" si="5"/>
        <v>ACMQ (MIL-001-951)</v>
      </c>
      <c r="F137" s="6" t="s">
        <v>383</v>
      </c>
      <c r="G137" t="s">
        <v>669</v>
      </c>
    </row>
    <row r="138" spans="2:7">
      <c r="B138">
        <f t="shared" si="4"/>
        <v>67</v>
      </c>
      <c r="C138" t="s">
        <v>5</v>
      </c>
      <c r="D138" t="s">
        <v>120</v>
      </c>
      <c r="E138" t="str">
        <f t="shared" si="5"/>
        <v>ACNA (MIL-001-730)</v>
      </c>
      <c r="F138" s="6" t="s">
        <v>384</v>
      </c>
      <c r="G138" t="s">
        <v>670</v>
      </c>
    </row>
    <row r="139" spans="2:7">
      <c r="B139">
        <f t="shared" si="4"/>
        <v>68</v>
      </c>
      <c r="C139" t="s">
        <v>7</v>
      </c>
      <c r="D139" t="s">
        <v>121</v>
      </c>
      <c r="E139" t="str">
        <f t="shared" si="5"/>
        <v>ACNW (MIL-001-728)</v>
      </c>
      <c r="F139" s="6" t="s">
        <v>385</v>
      </c>
      <c r="G139" t="s">
        <v>671</v>
      </c>
    </row>
    <row r="140" spans="2:7">
      <c r="B140">
        <f t="shared" si="4"/>
        <v>69</v>
      </c>
      <c r="C140" t="s">
        <v>11</v>
      </c>
      <c r="D140" t="s">
        <v>122</v>
      </c>
      <c r="E140" t="str">
        <f t="shared" si="5"/>
        <v>ACPG (MIL-001-726)</v>
      </c>
      <c r="F140" s="6" t="s">
        <v>386</v>
      </c>
      <c r="G140" t="s">
        <v>672</v>
      </c>
    </row>
    <row r="141" spans="2:7">
      <c r="B141">
        <f t="shared" si="4"/>
        <v>69</v>
      </c>
      <c r="C141" t="s">
        <v>11</v>
      </c>
      <c r="D141" t="s">
        <v>115</v>
      </c>
      <c r="E141" t="str">
        <f t="shared" si="5"/>
        <v>ACP2 (MIL-001-761)</v>
      </c>
      <c r="F141" s="6" t="s">
        <v>379</v>
      </c>
      <c r="G141" t="s">
        <v>673</v>
      </c>
    </row>
    <row r="142" spans="2:7">
      <c r="B142">
        <f t="shared" si="4"/>
        <v>69</v>
      </c>
      <c r="C142" t="s">
        <v>11</v>
      </c>
      <c r="D142" t="s">
        <v>123</v>
      </c>
      <c r="E142" t="str">
        <f t="shared" si="5"/>
        <v>ACQN (MIL-001-762)</v>
      </c>
      <c r="F142" s="6" t="s">
        <v>387</v>
      </c>
      <c r="G142" t="s">
        <v>674</v>
      </c>
    </row>
    <row r="143" spans="2:7">
      <c r="B143">
        <f t="shared" si="4"/>
        <v>69</v>
      </c>
      <c r="C143" t="s">
        <v>11</v>
      </c>
      <c r="D143" t="s">
        <v>116</v>
      </c>
      <c r="E143" t="str">
        <f t="shared" si="5"/>
        <v>ACQ8 (MIL-001-197)</v>
      </c>
      <c r="F143" s="6" t="s">
        <v>380</v>
      </c>
      <c r="G143" t="s">
        <v>675</v>
      </c>
    </row>
    <row r="144" spans="2:7">
      <c r="B144">
        <f t="shared" si="4"/>
        <v>69</v>
      </c>
      <c r="C144" t="s">
        <v>11</v>
      </c>
      <c r="D144" t="s">
        <v>117</v>
      </c>
      <c r="E144" t="str">
        <f t="shared" si="5"/>
        <v>ACRU (MIL-001-198)</v>
      </c>
      <c r="F144" s="6" t="s">
        <v>381</v>
      </c>
      <c r="G144" t="s">
        <v>676</v>
      </c>
    </row>
    <row r="145" spans="2:7">
      <c r="B145">
        <f t="shared" si="4"/>
        <v>69</v>
      </c>
      <c r="C145" t="s">
        <v>11</v>
      </c>
      <c r="D145" t="s">
        <v>124</v>
      </c>
      <c r="E145" t="str">
        <f t="shared" si="5"/>
        <v>ACSE (MIL-001-327)</v>
      </c>
      <c r="F145" s="6" t="s">
        <v>388</v>
      </c>
      <c r="G145" t="s">
        <v>677</v>
      </c>
    </row>
    <row r="146" spans="2:7">
      <c r="B146">
        <f t="shared" si="4"/>
        <v>68</v>
      </c>
      <c r="C146" t="s">
        <v>7</v>
      </c>
      <c r="D146" t="s">
        <v>125</v>
      </c>
      <c r="E146" t="str">
        <f t="shared" si="5"/>
        <v>ACS0 (MIL-001-729)</v>
      </c>
      <c r="F146" s="6" t="s">
        <v>389</v>
      </c>
      <c r="G146" t="s">
        <v>678</v>
      </c>
    </row>
    <row r="147" spans="2:7">
      <c r="B147">
        <f t="shared" si="4"/>
        <v>69</v>
      </c>
      <c r="C147" t="s">
        <v>11</v>
      </c>
      <c r="D147" t="s">
        <v>126</v>
      </c>
      <c r="E147" t="str">
        <f t="shared" si="5"/>
        <v>ACTL (MIL-001-003)</v>
      </c>
      <c r="F147" s="6" t="s">
        <v>390</v>
      </c>
      <c r="G147" t="s">
        <v>679</v>
      </c>
    </row>
    <row r="148" spans="2:7">
      <c r="B148">
        <f t="shared" si="4"/>
        <v>69</v>
      </c>
      <c r="C148" t="s">
        <v>11</v>
      </c>
      <c r="D148" t="s">
        <v>127</v>
      </c>
      <c r="E148" t="str">
        <f t="shared" si="5"/>
        <v>ACT6 (MIL-001-004)</v>
      </c>
      <c r="F148" s="6" t="s">
        <v>391</v>
      </c>
      <c r="G148" t="s">
        <v>680</v>
      </c>
    </row>
    <row r="149" spans="2:7">
      <c r="B149">
        <f t="shared" si="4"/>
        <v>69</v>
      </c>
      <c r="C149" t="s">
        <v>11</v>
      </c>
      <c r="D149" t="s">
        <v>128</v>
      </c>
      <c r="E149" t="str">
        <f t="shared" si="5"/>
        <v>ACUS (MIL-001-007)</v>
      </c>
      <c r="F149" s="6" t="s">
        <v>392</v>
      </c>
      <c r="G149" t="s">
        <v>681</v>
      </c>
    </row>
    <row r="150" spans="2:7">
      <c r="B150">
        <f t="shared" si="4"/>
        <v>69</v>
      </c>
      <c r="C150" t="s">
        <v>11</v>
      </c>
      <c r="D150" t="s">
        <v>129</v>
      </c>
      <c r="E150" t="str">
        <f t="shared" si="5"/>
        <v>ACVC (MIL-001-727)</v>
      </c>
      <c r="F150" s="6" t="s">
        <v>393</v>
      </c>
      <c r="G150" t="s">
        <v>682</v>
      </c>
    </row>
    <row r="151" spans="2:7">
      <c r="B151">
        <f t="shared" si="4"/>
        <v>69</v>
      </c>
      <c r="C151" t="s">
        <v>11</v>
      </c>
      <c r="D151" t="s">
        <v>130</v>
      </c>
      <c r="E151" t="str">
        <f t="shared" si="5"/>
        <v>ACVY (MIL-001-760)</v>
      </c>
      <c r="F151" s="6" t="s">
        <v>394</v>
      </c>
      <c r="G151" t="s">
        <v>683</v>
      </c>
    </row>
    <row r="152" spans="2:7">
      <c r="B152">
        <f t="shared" si="4"/>
        <v>69</v>
      </c>
      <c r="C152" t="s">
        <v>11</v>
      </c>
      <c r="D152" t="s">
        <v>131</v>
      </c>
      <c r="E152" t="str">
        <f t="shared" si="5"/>
        <v>ACWJ (MIL-001-886)</v>
      </c>
      <c r="F152" s="6" t="s">
        <v>395</v>
      </c>
      <c r="G152" t="s">
        <v>684</v>
      </c>
    </row>
    <row r="153" spans="2:7">
      <c r="B153">
        <f t="shared" si="4"/>
        <v>69</v>
      </c>
      <c r="C153" t="s">
        <v>11</v>
      </c>
      <c r="D153" t="s">
        <v>132</v>
      </c>
      <c r="E153" t="str">
        <f t="shared" si="5"/>
        <v>ACW4 (MIL-001-323)</v>
      </c>
      <c r="F153" s="6" t="s">
        <v>396</v>
      </c>
      <c r="G153" t="s">
        <v>685</v>
      </c>
    </row>
    <row r="154" spans="2:7">
      <c r="B154">
        <f t="shared" si="4"/>
        <v>69</v>
      </c>
      <c r="C154" t="s">
        <v>11</v>
      </c>
      <c r="D154" t="s">
        <v>133</v>
      </c>
      <c r="E154" t="str">
        <f t="shared" si="5"/>
        <v>ACXQ (MIL-001-326)</v>
      </c>
      <c r="F154" s="6" t="s">
        <v>397</v>
      </c>
      <c r="G154" t="s">
        <v>686</v>
      </c>
    </row>
    <row r="155" spans="2:7">
      <c r="B155">
        <f t="shared" si="4"/>
        <v>69</v>
      </c>
      <c r="C155" t="s">
        <v>11</v>
      </c>
      <c r="D155" t="s">
        <v>124</v>
      </c>
      <c r="E155" t="str">
        <f t="shared" si="5"/>
        <v>ACYA (MIL-001-327)</v>
      </c>
      <c r="F155" s="6" t="s">
        <v>388</v>
      </c>
      <c r="G155" t="s">
        <v>687</v>
      </c>
    </row>
    <row r="156" spans="2:7">
      <c r="B156">
        <f t="shared" si="4"/>
        <v>69</v>
      </c>
      <c r="C156" t="s">
        <v>11</v>
      </c>
      <c r="D156" t="s">
        <v>134</v>
      </c>
      <c r="E156" t="str">
        <f t="shared" si="5"/>
        <v>ACYW (MIL-001-202)</v>
      </c>
      <c r="F156" s="6" t="s">
        <v>398</v>
      </c>
      <c r="G156" t="s">
        <v>688</v>
      </c>
    </row>
    <row r="157" spans="2:7">
      <c r="B157">
        <f t="shared" si="4"/>
        <v>69</v>
      </c>
      <c r="C157" t="s">
        <v>11</v>
      </c>
      <c r="D157" t="s">
        <v>99</v>
      </c>
      <c r="E157" t="str">
        <f t="shared" si="5"/>
        <v>ACZG (MIL-001-331)</v>
      </c>
      <c r="F157" s="6" t="s">
        <v>363</v>
      </c>
      <c r="G157" t="s">
        <v>689</v>
      </c>
    </row>
    <row r="158" spans="2:7">
      <c r="B158">
        <f t="shared" si="4"/>
        <v>69</v>
      </c>
      <c r="C158" t="s">
        <v>11</v>
      </c>
      <c r="D158" t="s">
        <v>102</v>
      </c>
      <c r="E158" t="str">
        <f t="shared" si="5"/>
        <v>ACZ2 (MIL-001-206)</v>
      </c>
      <c r="F158" s="6" t="s">
        <v>366</v>
      </c>
      <c r="G158" t="s">
        <v>690</v>
      </c>
    </row>
    <row r="159" spans="2:7">
      <c r="B159">
        <f t="shared" si="4"/>
        <v>69</v>
      </c>
      <c r="C159" t="s">
        <v>11</v>
      </c>
      <c r="D159" t="s">
        <v>135</v>
      </c>
      <c r="E159" t="str">
        <f t="shared" si="5"/>
        <v>AC0N (MIL-001-429)</v>
      </c>
      <c r="F159" s="6" t="s">
        <v>399</v>
      </c>
      <c r="G159" t="s">
        <v>691</v>
      </c>
    </row>
    <row r="160" spans="2:7">
      <c r="B160">
        <f t="shared" si="4"/>
        <v>69</v>
      </c>
      <c r="C160" t="s">
        <v>11</v>
      </c>
      <c r="D160" t="s">
        <v>104</v>
      </c>
      <c r="E160" t="str">
        <f t="shared" si="5"/>
        <v>AC08 (MIL-001-431)</v>
      </c>
      <c r="F160" s="6" t="s">
        <v>368</v>
      </c>
      <c r="G160" t="s">
        <v>692</v>
      </c>
    </row>
    <row r="161" spans="2:7">
      <c r="B161">
        <f t="shared" si="4"/>
        <v>69</v>
      </c>
      <c r="C161" t="s">
        <v>11</v>
      </c>
      <c r="D161" t="s">
        <v>103</v>
      </c>
      <c r="E161" t="str">
        <f t="shared" si="5"/>
        <v>AC1U (MIL-001-430)</v>
      </c>
      <c r="F161" s="6" t="s">
        <v>367</v>
      </c>
      <c r="G161" t="s">
        <v>693</v>
      </c>
    </row>
    <row r="162" spans="2:7">
      <c r="B162">
        <f t="shared" si="4"/>
        <v>67</v>
      </c>
      <c r="C162" t="s">
        <v>5</v>
      </c>
      <c r="D162" t="s">
        <v>136</v>
      </c>
      <c r="E162" t="str">
        <f t="shared" si="5"/>
        <v>AC2E (MIL-001-1412)</v>
      </c>
      <c r="F162" s="9" t="s">
        <v>400</v>
      </c>
      <c r="G162" t="s">
        <v>694</v>
      </c>
    </row>
    <row r="163" spans="2:7">
      <c r="B163">
        <f t="shared" si="4"/>
        <v>67</v>
      </c>
      <c r="C163" t="s">
        <v>5</v>
      </c>
      <c r="D163" t="s">
        <v>137</v>
      </c>
      <c r="E163" t="str">
        <f t="shared" si="5"/>
        <v>AC20 (MIL-001-848)</v>
      </c>
      <c r="F163" s="6" t="s">
        <v>401</v>
      </c>
      <c r="G163" t="s">
        <v>695</v>
      </c>
    </row>
    <row r="164" spans="2:7">
      <c r="B164">
        <f t="shared" si="4"/>
        <v>68</v>
      </c>
      <c r="C164" t="s">
        <v>7</v>
      </c>
      <c r="D164" t="s">
        <v>138</v>
      </c>
      <c r="E164" t="str">
        <f t="shared" si="5"/>
        <v>AC3L (MIL-001-767)</v>
      </c>
      <c r="F164" s="6" t="s">
        <v>402</v>
      </c>
      <c r="G164" t="s">
        <v>696</v>
      </c>
    </row>
    <row r="165" spans="2:7">
      <c r="B165">
        <f t="shared" si="4"/>
        <v>68</v>
      </c>
      <c r="C165" t="s">
        <v>7</v>
      </c>
      <c r="D165" t="s">
        <v>118</v>
      </c>
      <c r="E165" t="str">
        <f t="shared" si="5"/>
        <v>AC36 (MIL-001-199)</v>
      </c>
      <c r="F165" s="6" t="s">
        <v>382</v>
      </c>
      <c r="G165" t="s">
        <v>697</v>
      </c>
    </row>
    <row r="166" spans="2:7">
      <c r="B166">
        <f t="shared" si="4"/>
        <v>68</v>
      </c>
      <c r="C166" t="s">
        <v>7</v>
      </c>
      <c r="D166" t="s">
        <v>116</v>
      </c>
      <c r="E166" t="str">
        <f t="shared" si="5"/>
        <v>AC4S (MIL-001-197)</v>
      </c>
      <c r="F166" s="6" t="s">
        <v>380</v>
      </c>
      <c r="G166" t="s">
        <v>698</v>
      </c>
    </row>
    <row r="167" spans="2:7">
      <c r="B167">
        <f t="shared" si="4"/>
        <v>68</v>
      </c>
      <c r="C167" t="s">
        <v>7</v>
      </c>
      <c r="D167" t="s">
        <v>117</v>
      </c>
      <c r="E167" t="str">
        <f t="shared" si="5"/>
        <v>AC5C (MIL-001-198)</v>
      </c>
      <c r="F167" s="6" t="s">
        <v>381</v>
      </c>
      <c r="G167" t="s">
        <v>699</v>
      </c>
    </row>
    <row r="168" spans="2:7">
      <c r="B168">
        <f t="shared" si="4"/>
        <v>67</v>
      </c>
      <c r="C168" t="s">
        <v>5</v>
      </c>
      <c r="D168" t="s">
        <v>267</v>
      </c>
      <c r="E168" t="str">
        <f t="shared" si="5"/>
        <v>AC5Y (12585845)</v>
      </c>
      <c r="F168" s="6" t="s">
        <v>403</v>
      </c>
      <c r="G168" t="s">
        <v>700</v>
      </c>
    </row>
    <row r="169" spans="2:7">
      <c r="B169">
        <f t="shared" si="4"/>
        <v>67</v>
      </c>
      <c r="C169" t="s">
        <v>5</v>
      </c>
      <c r="D169" t="s">
        <v>268</v>
      </c>
      <c r="E169" t="str">
        <f t="shared" si="5"/>
        <v>AC6J (12585846)</v>
      </c>
      <c r="F169" s="6" t="s">
        <v>404</v>
      </c>
      <c r="G169" t="s">
        <v>701</v>
      </c>
    </row>
    <row r="170" spans="2:7">
      <c r="B170">
        <f t="shared" si="4"/>
        <v>67</v>
      </c>
      <c r="C170" t="s">
        <v>5</v>
      </c>
      <c r="D170" t="s">
        <v>139</v>
      </c>
      <c r="E170" t="str">
        <f t="shared" si="5"/>
        <v>AC64 (137783)</v>
      </c>
      <c r="F170" s="6" t="s">
        <v>405</v>
      </c>
      <c r="G170" t="s">
        <v>702</v>
      </c>
    </row>
    <row r="171" spans="2:7">
      <c r="B171">
        <f t="shared" si="4"/>
        <v>67</v>
      </c>
      <c r="C171" t="s">
        <v>5</v>
      </c>
      <c r="D171" t="s">
        <v>140</v>
      </c>
      <c r="E171" t="str">
        <f t="shared" si="5"/>
        <v>AC7Q (33814)</v>
      </c>
      <c r="F171" s="6" t="s">
        <v>406</v>
      </c>
      <c r="G171" t="s">
        <v>703</v>
      </c>
    </row>
    <row r="172" spans="2:7">
      <c r="B172">
        <f t="shared" si="4"/>
        <v>67</v>
      </c>
      <c r="C172" t="s">
        <v>5</v>
      </c>
      <c r="D172" t="s">
        <v>141</v>
      </c>
      <c r="E172" t="str">
        <f t="shared" si="5"/>
        <v>AC8A (123495)</v>
      </c>
      <c r="F172" s="6" t="s">
        <v>407</v>
      </c>
      <c r="G172" t="s">
        <v>704</v>
      </c>
    </row>
    <row r="173" spans="2:7">
      <c r="B173">
        <f t="shared" si="4"/>
        <v>67</v>
      </c>
      <c r="C173" t="s">
        <v>5</v>
      </c>
      <c r="D173" t="s">
        <v>142</v>
      </c>
      <c r="E173" t="str">
        <f t="shared" si="5"/>
        <v>AC8W (MIL-001-192)</v>
      </c>
      <c r="F173" s="6" t="s">
        <v>408</v>
      </c>
      <c r="G173" t="s">
        <v>705</v>
      </c>
    </row>
    <row r="174" spans="2:7">
      <c r="B174">
        <f t="shared" si="4"/>
        <v>68</v>
      </c>
      <c r="C174" t="s">
        <v>7</v>
      </c>
      <c r="D174" t="s">
        <v>269</v>
      </c>
      <c r="E174" t="str">
        <f t="shared" si="5"/>
        <v>AC9G (MIL-001-1431)</v>
      </c>
      <c r="F174" s="10" t="s">
        <v>409</v>
      </c>
      <c r="G174" t="s">
        <v>706</v>
      </c>
    </row>
    <row r="175" spans="2:7">
      <c r="B175">
        <f t="shared" si="4"/>
        <v>68</v>
      </c>
      <c r="C175" t="s">
        <v>7</v>
      </c>
      <c r="D175" t="s">
        <v>143</v>
      </c>
      <c r="E175" t="str">
        <f t="shared" si="5"/>
        <v>AC92 (MIL-001-258)</v>
      </c>
      <c r="F175" s="6" t="s">
        <v>410</v>
      </c>
      <c r="G175" t="s">
        <v>707</v>
      </c>
    </row>
    <row r="176" spans="2:7">
      <c r="B176">
        <f t="shared" si="4"/>
        <v>68</v>
      </c>
      <c r="C176" t="s">
        <v>7</v>
      </c>
      <c r="D176" t="s">
        <v>144</v>
      </c>
      <c r="E176" t="str">
        <f t="shared" si="5"/>
        <v>ADAN (MIL-001-259)</v>
      </c>
      <c r="F176" s="6" t="s">
        <v>411</v>
      </c>
      <c r="G176" t="s">
        <v>708</v>
      </c>
    </row>
    <row r="177" spans="2:7">
      <c r="B177">
        <f t="shared" si="4"/>
        <v>68</v>
      </c>
      <c r="C177" t="s">
        <v>7</v>
      </c>
      <c r="D177" t="s">
        <v>145</v>
      </c>
      <c r="E177" t="str">
        <f t="shared" si="5"/>
        <v>ADA8 (MIL-001-260)</v>
      </c>
      <c r="F177" s="6" t="s">
        <v>412</v>
      </c>
      <c r="G177" t="s">
        <v>709</v>
      </c>
    </row>
    <row r="178" spans="2:7">
      <c r="B178">
        <f t="shared" si="4"/>
        <v>67</v>
      </c>
      <c r="C178" t="s">
        <v>5</v>
      </c>
      <c r="D178" t="s">
        <v>146</v>
      </c>
      <c r="E178" t="str">
        <f t="shared" si="5"/>
        <v>ADBU (MIL-001-082)</v>
      </c>
      <c r="F178" s="11" t="s">
        <v>413</v>
      </c>
      <c r="G178" t="s">
        <v>710</v>
      </c>
    </row>
    <row r="179" spans="2:7">
      <c r="B179">
        <f t="shared" si="4"/>
        <v>67</v>
      </c>
      <c r="C179" t="s">
        <v>5</v>
      </c>
      <c r="D179" t="s">
        <v>147</v>
      </c>
      <c r="E179" t="str">
        <f t="shared" si="5"/>
        <v>ADCE (MIL-001-844)</v>
      </c>
      <c r="F179" s="6" t="s">
        <v>414</v>
      </c>
      <c r="G179" t="s">
        <v>711</v>
      </c>
    </row>
    <row r="180" spans="2:7">
      <c r="B180">
        <f t="shared" si="4"/>
        <v>68</v>
      </c>
      <c r="C180" t="s">
        <v>7</v>
      </c>
      <c r="D180" t="s">
        <v>148</v>
      </c>
      <c r="E180" t="str">
        <f t="shared" si="5"/>
        <v>ADC0 (MIL-001-840)</v>
      </c>
      <c r="F180" s="6" t="s">
        <v>415</v>
      </c>
      <c r="G180" t="s">
        <v>712</v>
      </c>
    </row>
    <row r="181" spans="2:7">
      <c r="B181">
        <f t="shared" si="4"/>
        <v>69</v>
      </c>
      <c r="C181" t="s">
        <v>11</v>
      </c>
      <c r="D181" t="s">
        <v>149</v>
      </c>
      <c r="E181" t="str">
        <f t="shared" si="5"/>
        <v>ADDL (MIL-001-841)</v>
      </c>
      <c r="F181" s="6" t="s">
        <v>416</v>
      </c>
      <c r="G181" t="s">
        <v>713</v>
      </c>
    </row>
    <row r="182" spans="2:7">
      <c r="B182">
        <f t="shared" si="4"/>
        <v>69</v>
      </c>
      <c r="C182" t="s">
        <v>11</v>
      </c>
      <c r="D182" t="s">
        <v>150</v>
      </c>
      <c r="E182" t="str">
        <f t="shared" si="5"/>
        <v>ADD6 (MIL-001-249)</v>
      </c>
      <c r="F182" s="6" t="s">
        <v>417</v>
      </c>
      <c r="G182" t="s">
        <v>714</v>
      </c>
    </row>
    <row r="183" spans="2:7">
      <c r="B183">
        <f t="shared" si="4"/>
        <v>69</v>
      </c>
      <c r="C183" t="s">
        <v>11</v>
      </c>
      <c r="D183" t="s">
        <v>151</v>
      </c>
      <c r="E183" t="str">
        <f t="shared" si="5"/>
        <v>ADES (MIL-001-250)</v>
      </c>
      <c r="F183" s="6" t="s">
        <v>418</v>
      </c>
      <c r="G183" t="s">
        <v>715</v>
      </c>
    </row>
    <row r="184" spans="2:7">
      <c r="B184">
        <f t="shared" si="4"/>
        <v>69</v>
      </c>
      <c r="C184" t="s">
        <v>11</v>
      </c>
      <c r="D184" t="s">
        <v>144</v>
      </c>
      <c r="E184" t="str">
        <f t="shared" si="5"/>
        <v>ADFC (MIL-001-259)</v>
      </c>
      <c r="F184" s="6" t="s">
        <v>411</v>
      </c>
      <c r="G184" t="s">
        <v>716</v>
      </c>
    </row>
    <row r="185" spans="2:7">
      <c r="B185">
        <f t="shared" si="4"/>
        <v>69</v>
      </c>
      <c r="C185" t="s">
        <v>11</v>
      </c>
      <c r="D185" t="s">
        <v>152</v>
      </c>
      <c r="E185" t="str">
        <f t="shared" si="5"/>
        <v>ADFY (MIL-001-447)</v>
      </c>
      <c r="F185" s="6" t="s">
        <v>419</v>
      </c>
      <c r="G185" t="s">
        <v>717</v>
      </c>
    </row>
    <row r="186" spans="2:7">
      <c r="B186">
        <f t="shared" si="4"/>
        <v>69</v>
      </c>
      <c r="C186" t="s">
        <v>11</v>
      </c>
      <c r="D186" t="s">
        <v>153</v>
      </c>
      <c r="E186" t="str">
        <f t="shared" si="5"/>
        <v>ADGJ (MIL-001-587)</v>
      </c>
      <c r="F186" s="6" t="s">
        <v>420</v>
      </c>
      <c r="G186" t="s">
        <v>718</v>
      </c>
    </row>
    <row r="187" spans="2:7">
      <c r="B187">
        <f t="shared" si="4"/>
        <v>69</v>
      </c>
      <c r="C187" t="s">
        <v>11</v>
      </c>
      <c r="D187" t="s">
        <v>154</v>
      </c>
      <c r="E187" t="str">
        <f t="shared" si="5"/>
        <v>ADG4 (MIL-001-251)</v>
      </c>
      <c r="F187" s="6" t="s">
        <v>421</v>
      </c>
      <c r="G187" t="s">
        <v>719</v>
      </c>
    </row>
    <row r="188" spans="2:7">
      <c r="B188">
        <f t="shared" si="4"/>
        <v>69</v>
      </c>
      <c r="C188" t="s">
        <v>11</v>
      </c>
      <c r="D188" t="s">
        <v>155</v>
      </c>
      <c r="E188" t="str">
        <f t="shared" si="5"/>
        <v>ADHQ (MIL-001-1188)</v>
      </c>
      <c r="F188" s="2" t="s">
        <v>422</v>
      </c>
      <c r="G188" t="s">
        <v>720</v>
      </c>
    </row>
    <row r="189" spans="2:7">
      <c r="B189">
        <f t="shared" si="4"/>
        <v>70</v>
      </c>
      <c r="C189" t="s">
        <v>262</v>
      </c>
      <c r="D189" t="s">
        <v>156</v>
      </c>
      <c r="E189" t="str">
        <f t="shared" si="5"/>
        <v>ADJA (MIL-001-355)</v>
      </c>
      <c r="F189" s="2" t="s">
        <v>422</v>
      </c>
      <c r="G189" t="s">
        <v>721</v>
      </c>
    </row>
    <row r="190" spans="2:7">
      <c r="B190">
        <f t="shared" si="4"/>
        <v>70</v>
      </c>
      <c r="C190" t="s">
        <v>262</v>
      </c>
      <c r="D190" t="s">
        <v>157</v>
      </c>
      <c r="E190" t="str">
        <f t="shared" si="5"/>
        <v>ADJW (MIL-001-448)</v>
      </c>
      <c r="F190" s="2" t="s">
        <v>423</v>
      </c>
      <c r="G190" t="s">
        <v>722</v>
      </c>
    </row>
    <row r="191" spans="2:7">
      <c r="B191">
        <f t="shared" si="4"/>
        <v>70</v>
      </c>
      <c r="C191" t="s">
        <v>262</v>
      </c>
      <c r="D191" t="s">
        <v>158</v>
      </c>
      <c r="E191" t="str">
        <f t="shared" si="5"/>
        <v>ADKG (MIL-001-454)</v>
      </c>
      <c r="F191" s="2" t="s">
        <v>424</v>
      </c>
      <c r="G191" t="s">
        <v>723</v>
      </c>
    </row>
    <row r="192" spans="2:7">
      <c r="B192">
        <f t="shared" si="4"/>
        <v>70</v>
      </c>
      <c r="C192" t="s">
        <v>262</v>
      </c>
      <c r="D192" t="s">
        <v>159</v>
      </c>
      <c r="E192" t="str">
        <f t="shared" si="5"/>
        <v>ADK2 (MIL-001-455)</v>
      </c>
      <c r="F192" s="2" t="s">
        <v>425</v>
      </c>
      <c r="G192" t="s">
        <v>724</v>
      </c>
    </row>
    <row r="193" spans="2:7">
      <c r="B193">
        <f t="shared" si="4"/>
        <v>70</v>
      </c>
      <c r="C193" t="s">
        <v>262</v>
      </c>
      <c r="D193" t="s">
        <v>160</v>
      </c>
      <c r="E193" t="str">
        <f t="shared" si="5"/>
        <v>ADLN (MIL-001-850)</v>
      </c>
      <c r="F193" s="2" t="s">
        <v>426</v>
      </c>
      <c r="G193" t="s">
        <v>725</v>
      </c>
    </row>
    <row r="194" spans="2:7">
      <c r="B194">
        <f t="shared" ref="B194:B257" si="6">CODE(C194)</f>
        <v>70</v>
      </c>
      <c r="C194" t="s">
        <v>262</v>
      </c>
      <c r="D194" t="s">
        <v>161</v>
      </c>
      <c r="E194" t="str">
        <f t="shared" ref="E194:E257" si="7">G194&amp;"(" &amp; D194 &amp; ")"</f>
        <v>ADL8 (MIL-001-650)</v>
      </c>
      <c r="F194" s="6" t="s">
        <v>427</v>
      </c>
      <c r="G194" t="s">
        <v>726</v>
      </c>
    </row>
    <row r="195" spans="2:7">
      <c r="B195">
        <f t="shared" si="6"/>
        <v>69</v>
      </c>
      <c r="C195" t="s">
        <v>11</v>
      </c>
      <c r="D195" t="s">
        <v>162</v>
      </c>
      <c r="E195" t="str">
        <f t="shared" si="7"/>
        <v>ADMU (MIL-001-768)</v>
      </c>
      <c r="F195" s="2" t="s">
        <v>428</v>
      </c>
      <c r="G195" t="s">
        <v>727</v>
      </c>
    </row>
    <row r="196" spans="2:7">
      <c r="B196">
        <f t="shared" si="6"/>
        <v>69</v>
      </c>
      <c r="C196" t="s">
        <v>11</v>
      </c>
      <c r="D196" t="s">
        <v>163</v>
      </c>
      <c r="E196" t="str">
        <f t="shared" si="7"/>
        <v>ADNE (MIL-001-1189)</v>
      </c>
      <c r="F196" s="2" t="s">
        <v>429</v>
      </c>
      <c r="G196" t="s">
        <v>728</v>
      </c>
    </row>
    <row r="197" spans="2:7">
      <c r="B197">
        <f t="shared" si="6"/>
        <v>70</v>
      </c>
      <c r="C197" t="s">
        <v>262</v>
      </c>
      <c r="D197" t="s">
        <v>164</v>
      </c>
      <c r="E197" t="str">
        <f t="shared" si="7"/>
        <v>ADN0 (MIL-001-827)</v>
      </c>
      <c r="F197" s="2" t="s">
        <v>430</v>
      </c>
      <c r="G197" t="s">
        <v>729</v>
      </c>
    </row>
    <row r="198" spans="2:7">
      <c r="B198">
        <f t="shared" si="6"/>
        <v>70</v>
      </c>
      <c r="C198" t="s">
        <v>262</v>
      </c>
      <c r="D198" t="s">
        <v>165</v>
      </c>
      <c r="E198" t="str">
        <f t="shared" si="7"/>
        <v>ADPL (MIL-001-337)</v>
      </c>
      <c r="F198" s="2" t="s">
        <v>431</v>
      </c>
      <c r="G198" t="s">
        <v>730</v>
      </c>
    </row>
    <row r="199" spans="2:7">
      <c r="B199">
        <f t="shared" si="6"/>
        <v>70</v>
      </c>
      <c r="C199" t="s">
        <v>262</v>
      </c>
      <c r="D199" t="s">
        <v>166</v>
      </c>
      <c r="E199" t="str">
        <f t="shared" si="7"/>
        <v>ADP6 (MIL-001-189)</v>
      </c>
      <c r="F199" s="2" t="s">
        <v>432</v>
      </c>
      <c r="G199" t="s">
        <v>731</v>
      </c>
    </row>
    <row r="200" spans="2:7">
      <c r="B200">
        <f t="shared" si="6"/>
        <v>70</v>
      </c>
      <c r="C200" t="s">
        <v>262</v>
      </c>
      <c r="D200" t="s">
        <v>167</v>
      </c>
      <c r="E200" t="str">
        <f t="shared" si="7"/>
        <v>ADQS (MIL-001-190)</v>
      </c>
      <c r="F200" s="2" t="s">
        <v>433</v>
      </c>
      <c r="G200" t="s">
        <v>732</v>
      </c>
    </row>
    <row r="201" spans="2:7">
      <c r="B201">
        <f t="shared" si="6"/>
        <v>69</v>
      </c>
      <c r="C201" t="s">
        <v>11</v>
      </c>
      <c r="D201" t="s">
        <v>168</v>
      </c>
      <c r="E201" t="str">
        <f t="shared" si="7"/>
        <v>ADRC (MIL-001-1191)</v>
      </c>
      <c r="F201" s="2" t="s">
        <v>434</v>
      </c>
      <c r="G201" t="s">
        <v>733</v>
      </c>
    </row>
    <row r="202" spans="2:7">
      <c r="B202">
        <f t="shared" si="6"/>
        <v>69</v>
      </c>
      <c r="C202" t="s">
        <v>11</v>
      </c>
      <c r="D202" t="s">
        <v>169</v>
      </c>
      <c r="E202" t="str">
        <f t="shared" si="7"/>
        <v>ADRY (MIL-001-1194)</v>
      </c>
      <c r="F202" s="2" t="s">
        <v>435</v>
      </c>
      <c r="G202" t="s">
        <v>734</v>
      </c>
    </row>
    <row r="203" spans="2:7">
      <c r="B203">
        <f t="shared" si="6"/>
        <v>69</v>
      </c>
      <c r="C203" t="s">
        <v>11</v>
      </c>
      <c r="D203" t="s">
        <v>270</v>
      </c>
      <c r="E203" t="str">
        <f t="shared" si="7"/>
        <v>ADSJ (MIL-001-516)</v>
      </c>
      <c r="F203" s="2" t="s">
        <v>436</v>
      </c>
      <c r="G203" t="s">
        <v>735</v>
      </c>
    </row>
    <row r="204" spans="2:7">
      <c r="B204">
        <f t="shared" si="6"/>
        <v>68</v>
      </c>
      <c r="C204" t="s">
        <v>7</v>
      </c>
      <c r="D204" t="s">
        <v>170</v>
      </c>
      <c r="E204" t="str">
        <f t="shared" si="7"/>
        <v>ADS4 (MIL-001-860)</v>
      </c>
      <c r="F204" s="6" t="s">
        <v>437</v>
      </c>
      <c r="G204" t="s">
        <v>736</v>
      </c>
    </row>
    <row r="205" spans="2:7">
      <c r="B205">
        <f t="shared" si="6"/>
        <v>69</v>
      </c>
      <c r="C205" t="s">
        <v>11</v>
      </c>
      <c r="D205" t="s">
        <v>171</v>
      </c>
      <c r="E205" t="str">
        <f t="shared" si="7"/>
        <v>ADTQ (MIL-001-769)</v>
      </c>
      <c r="F205" s="6" t="s">
        <v>438</v>
      </c>
      <c r="G205" t="s">
        <v>737</v>
      </c>
    </row>
    <row r="206" spans="2:7">
      <c r="B206">
        <f t="shared" si="6"/>
        <v>69</v>
      </c>
      <c r="C206" t="s">
        <v>11</v>
      </c>
      <c r="D206" t="s">
        <v>172</v>
      </c>
      <c r="E206" t="str">
        <f t="shared" si="7"/>
        <v>ADUA (MIL-001-829)</v>
      </c>
      <c r="F206" s="6" t="s">
        <v>439</v>
      </c>
      <c r="G206" t="s">
        <v>738</v>
      </c>
    </row>
    <row r="207" spans="2:7">
      <c r="B207">
        <f t="shared" si="6"/>
        <v>69</v>
      </c>
      <c r="C207" t="s">
        <v>11</v>
      </c>
      <c r="D207" t="s">
        <v>173</v>
      </c>
      <c r="E207" t="str">
        <f t="shared" si="7"/>
        <v>ADUW (MIL-001-790)</v>
      </c>
      <c r="F207" s="6" t="s">
        <v>440</v>
      </c>
      <c r="G207" t="s">
        <v>739</v>
      </c>
    </row>
    <row r="208" spans="2:7">
      <c r="B208">
        <f t="shared" si="6"/>
        <v>69</v>
      </c>
      <c r="C208" t="s">
        <v>11</v>
      </c>
      <c r="D208" t="s">
        <v>174</v>
      </c>
      <c r="E208" t="str">
        <f t="shared" si="7"/>
        <v>ADVG (MIL-001-791)</v>
      </c>
      <c r="F208" s="6" t="s">
        <v>441</v>
      </c>
      <c r="G208" t="s">
        <v>740</v>
      </c>
    </row>
    <row r="209" spans="2:7">
      <c r="B209">
        <f t="shared" si="6"/>
        <v>69</v>
      </c>
      <c r="C209" t="s">
        <v>11</v>
      </c>
      <c r="D209" t="s">
        <v>175</v>
      </c>
      <c r="E209" t="str">
        <f t="shared" si="7"/>
        <v>ADV2 (MIL-001-792)</v>
      </c>
      <c r="F209" s="6" t="s">
        <v>442</v>
      </c>
      <c r="G209" t="s">
        <v>741</v>
      </c>
    </row>
    <row r="210" spans="2:7">
      <c r="B210">
        <f t="shared" si="6"/>
        <v>70</v>
      </c>
      <c r="C210" t="s">
        <v>262</v>
      </c>
      <c r="D210" t="s">
        <v>151</v>
      </c>
      <c r="E210" t="str">
        <f t="shared" si="7"/>
        <v>ADWN (MIL-001-250)</v>
      </c>
      <c r="F210" s="6" t="s">
        <v>418</v>
      </c>
      <c r="G210" t="s">
        <v>742</v>
      </c>
    </row>
    <row r="211" spans="2:7">
      <c r="B211">
        <f t="shared" si="6"/>
        <v>70</v>
      </c>
      <c r="C211" t="s">
        <v>262</v>
      </c>
      <c r="D211" t="s">
        <v>176</v>
      </c>
      <c r="E211" t="str">
        <f t="shared" si="7"/>
        <v>ADW8 (MIL-001-773)</v>
      </c>
      <c r="F211" s="6" t="s">
        <v>443</v>
      </c>
      <c r="G211" t="s">
        <v>743</v>
      </c>
    </row>
    <row r="212" spans="2:7">
      <c r="B212">
        <f t="shared" si="6"/>
        <v>70</v>
      </c>
      <c r="C212" t="s">
        <v>262</v>
      </c>
      <c r="D212" t="s">
        <v>143</v>
      </c>
      <c r="E212" t="str">
        <f t="shared" si="7"/>
        <v>ADXU (MIL-001-258)</v>
      </c>
      <c r="F212" s="6" t="s">
        <v>410</v>
      </c>
      <c r="G212" t="s">
        <v>744</v>
      </c>
    </row>
    <row r="213" spans="2:7">
      <c r="B213">
        <f t="shared" si="6"/>
        <v>70</v>
      </c>
      <c r="C213" t="s">
        <v>262</v>
      </c>
      <c r="D213" t="s">
        <v>144</v>
      </c>
      <c r="E213" t="str">
        <f t="shared" si="7"/>
        <v>ADYE (MIL-001-259)</v>
      </c>
      <c r="F213" s="6" t="s">
        <v>411</v>
      </c>
      <c r="G213" t="s">
        <v>745</v>
      </c>
    </row>
    <row r="214" spans="2:7">
      <c r="B214">
        <f t="shared" si="6"/>
        <v>70</v>
      </c>
      <c r="C214" t="s">
        <v>262</v>
      </c>
      <c r="D214" t="s">
        <v>177</v>
      </c>
      <c r="E214" t="str">
        <f t="shared" si="7"/>
        <v>ADY0 (MIL-001-910)</v>
      </c>
      <c r="F214" s="6" t="s">
        <v>444</v>
      </c>
      <c r="G214" t="s">
        <v>746</v>
      </c>
    </row>
    <row r="215" spans="2:7">
      <c r="B215">
        <f t="shared" si="6"/>
        <v>70</v>
      </c>
      <c r="C215" t="s">
        <v>262</v>
      </c>
      <c r="D215" t="s">
        <v>145</v>
      </c>
      <c r="E215" t="str">
        <f t="shared" si="7"/>
        <v>ADZL (MIL-001-260)</v>
      </c>
      <c r="F215" s="6" t="s">
        <v>412</v>
      </c>
      <c r="G215" t="s">
        <v>747</v>
      </c>
    </row>
    <row r="216" spans="2:7">
      <c r="B216">
        <f t="shared" si="6"/>
        <v>69</v>
      </c>
      <c r="C216" t="s">
        <v>11</v>
      </c>
      <c r="D216" t="s">
        <v>178</v>
      </c>
      <c r="E216" t="str">
        <f t="shared" si="7"/>
        <v>ADZ6 (MIL-001-1354)</v>
      </c>
      <c r="F216" s="6" t="s">
        <v>445</v>
      </c>
      <c r="G216" t="s">
        <v>748</v>
      </c>
    </row>
    <row r="217" spans="2:7">
      <c r="B217">
        <f t="shared" si="6"/>
        <v>70</v>
      </c>
      <c r="C217" t="s">
        <v>262</v>
      </c>
      <c r="D217" t="s">
        <v>179</v>
      </c>
      <c r="E217" t="str">
        <f t="shared" si="7"/>
        <v>AD0S (MIL-001-395)</v>
      </c>
      <c r="F217" s="6" t="s">
        <v>446</v>
      </c>
      <c r="G217" t="s">
        <v>749</v>
      </c>
    </row>
    <row r="218" spans="2:7">
      <c r="B218">
        <f t="shared" si="6"/>
        <v>70</v>
      </c>
      <c r="C218" t="s">
        <v>262</v>
      </c>
      <c r="D218" t="s">
        <v>180</v>
      </c>
      <c r="E218" t="str">
        <f t="shared" si="7"/>
        <v>AD1C (MIL-001-853)</v>
      </c>
      <c r="F218" s="6" t="s">
        <v>447</v>
      </c>
      <c r="G218" t="s">
        <v>750</v>
      </c>
    </row>
    <row r="219" spans="2:7">
      <c r="B219">
        <f t="shared" si="6"/>
        <v>70</v>
      </c>
      <c r="C219" t="s">
        <v>262</v>
      </c>
      <c r="D219" t="s">
        <v>181</v>
      </c>
      <c r="E219" t="str">
        <f t="shared" si="7"/>
        <v>AD1Y (MIL-001-423)</v>
      </c>
      <c r="F219" s="6" t="s">
        <v>448</v>
      </c>
      <c r="G219" t="s">
        <v>751</v>
      </c>
    </row>
    <row r="220" spans="2:7">
      <c r="B220">
        <f t="shared" si="6"/>
        <v>67</v>
      </c>
      <c r="C220" t="s">
        <v>5</v>
      </c>
      <c r="D220" t="s">
        <v>182</v>
      </c>
      <c r="E220" t="str">
        <f t="shared" si="7"/>
        <v>AD2J (MIL-001-072)</v>
      </c>
      <c r="F220" s="6" t="s">
        <v>449</v>
      </c>
      <c r="G220" t="s">
        <v>752</v>
      </c>
    </row>
    <row r="221" spans="2:7">
      <c r="B221">
        <f t="shared" si="6"/>
        <v>67</v>
      </c>
      <c r="C221" t="s">
        <v>5</v>
      </c>
      <c r="D221" t="s">
        <v>183</v>
      </c>
      <c r="E221" t="str">
        <f t="shared" si="7"/>
        <v>AD24 (MIL-001-074)</v>
      </c>
      <c r="F221" s="6" t="s">
        <v>450</v>
      </c>
      <c r="G221" t="s">
        <v>753</v>
      </c>
    </row>
    <row r="222" spans="2:7">
      <c r="B222">
        <f t="shared" si="6"/>
        <v>67</v>
      </c>
      <c r="C222" t="s">
        <v>5</v>
      </c>
      <c r="D222" t="s">
        <v>184</v>
      </c>
      <c r="E222" t="str">
        <f t="shared" si="7"/>
        <v>AD3Q (MIL-001-075)</v>
      </c>
      <c r="F222" s="6" t="s">
        <v>451</v>
      </c>
      <c r="G222" t="s">
        <v>754</v>
      </c>
    </row>
    <row r="223" spans="2:7">
      <c r="B223">
        <f t="shared" si="6"/>
        <v>67</v>
      </c>
      <c r="C223" t="s">
        <v>5</v>
      </c>
      <c r="D223" t="s">
        <v>185</v>
      </c>
      <c r="E223" t="str">
        <f t="shared" si="7"/>
        <v>AD4A (MIL-001-649)</v>
      </c>
      <c r="F223" s="6" t="s">
        <v>452</v>
      </c>
      <c r="G223" t="s">
        <v>755</v>
      </c>
    </row>
    <row r="224" spans="2:7">
      <c r="B224">
        <f t="shared" si="6"/>
        <v>67</v>
      </c>
      <c r="C224" t="s">
        <v>5</v>
      </c>
      <c r="D224" t="s">
        <v>186</v>
      </c>
      <c r="E224" t="str">
        <f t="shared" si="7"/>
        <v>AD4W (MIL-001-264)</v>
      </c>
      <c r="F224" s="6" t="s">
        <v>453</v>
      </c>
      <c r="G224" t="s">
        <v>756</v>
      </c>
    </row>
    <row r="225" spans="2:7">
      <c r="B225">
        <f t="shared" si="6"/>
        <v>67</v>
      </c>
      <c r="C225" t="s">
        <v>5</v>
      </c>
      <c r="D225" t="s">
        <v>187</v>
      </c>
      <c r="E225" t="str">
        <f t="shared" si="7"/>
        <v>AD5G (MIL-001-073)</v>
      </c>
      <c r="F225" s="6" t="s">
        <v>454</v>
      </c>
      <c r="G225" t="s">
        <v>757</v>
      </c>
    </row>
    <row r="226" spans="2:7">
      <c r="B226">
        <f t="shared" si="6"/>
        <v>68</v>
      </c>
      <c r="C226" t="s">
        <v>7</v>
      </c>
      <c r="D226" t="s">
        <v>188</v>
      </c>
      <c r="E226" t="str">
        <f t="shared" si="7"/>
        <v>AD52 (MIL-001-238)</v>
      </c>
      <c r="F226" s="6" t="s">
        <v>455</v>
      </c>
      <c r="G226" t="s">
        <v>758</v>
      </c>
    </row>
    <row r="227" spans="2:7">
      <c r="B227">
        <f t="shared" si="6"/>
        <v>68</v>
      </c>
      <c r="C227" t="s">
        <v>7</v>
      </c>
      <c r="D227" t="s">
        <v>189</v>
      </c>
      <c r="E227" t="str">
        <f t="shared" si="7"/>
        <v>AD6N (MIL-001-174)</v>
      </c>
      <c r="F227" s="6" t="s">
        <v>456</v>
      </c>
      <c r="G227" t="s">
        <v>759</v>
      </c>
    </row>
    <row r="228" spans="2:7">
      <c r="B228">
        <f t="shared" si="6"/>
        <v>67</v>
      </c>
      <c r="C228" t="s">
        <v>5</v>
      </c>
      <c r="D228" t="s">
        <v>190</v>
      </c>
      <c r="E228" t="str">
        <f t="shared" si="7"/>
        <v>AD68 (MIL-001-861)</v>
      </c>
      <c r="F228" s="6" t="s">
        <v>457</v>
      </c>
      <c r="G228" t="s">
        <v>760</v>
      </c>
    </row>
    <row r="229" spans="2:7">
      <c r="B229">
        <f t="shared" si="6"/>
        <v>67</v>
      </c>
      <c r="C229" t="s">
        <v>5</v>
      </c>
      <c r="D229" t="s">
        <v>191</v>
      </c>
      <c r="E229" t="str">
        <f t="shared" si="7"/>
        <v>AD7U (MIL-001-084)</v>
      </c>
      <c r="F229" s="6" t="s">
        <v>458</v>
      </c>
      <c r="G229" t="s">
        <v>761</v>
      </c>
    </row>
    <row r="230" spans="2:7">
      <c r="B230">
        <f t="shared" si="6"/>
        <v>67</v>
      </c>
      <c r="C230" t="s">
        <v>5</v>
      </c>
      <c r="D230" t="s">
        <v>192</v>
      </c>
      <c r="E230" t="str">
        <f t="shared" si="7"/>
        <v>AD8E (MIL-001-1222)</v>
      </c>
      <c r="F230" s="6" t="s">
        <v>459</v>
      </c>
      <c r="G230" t="s">
        <v>762</v>
      </c>
    </row>
    <row r="231" spans="2:7">
      <c r="B231">
        <f t="shared" si="6"/>
        <v>67</v>
      </c>
      <c r="C231" t="s">
        <v>5</v>
      </c>
      <c r="D231" t="s">
        <v>193</v>
      </c>
      <c r="E231" t="str">
        <f t="shared" si="7"/>
        <v>AD80 (MIL-001-964)</v>
      </c>
      <c r="F231" s="6" t="s">
        <v>460</v>
      </c>
      <c r="G231" t="s">
        <v>763</v>
      </c>
    </row>
    <row r="232" spans="2:7">
      <c r="B232">
        <f t="shared" si="6"/>
        <v>67</v>
      </c>
      <c r="C232" t="s">
        <v>5</v>
      </c>
      <c r="D232" t="s">
        <v>194</v>
      </c>
      <c r="E232" t="str">
        <f t="shared" si="7"/>
        <v>AD9L (MIL-001-090)</v>
      </c>
      <c r="F232" s="6" t="s">
        <v>461</v>
      </c>
      <c r="G232" t="s">
        <v>764</v>
      </c>
    </row>
    <row r="233" spans="2:7">
      <c r="B233">
        <f t="shared" si="6"/>
        <v>67</v>
      </c>
      <c r="C233" t="s">
        <v>5</v>
      </c>
      <c r="D233" t="s">
        <v>195</v>
      </c>
      <c r="E233" t="str">
        <f t="shared" si="7"/>
        <v>AD96 (MIL-001-338)</v>
      </c>
      <c r="F233" s="6" t="s">
        <v>462</v>
      </c>
      <c r="G233" t="s">
        <v>765</v>
      </c>
    </row>
    <row r="234" spans="2:7">
      <c r="B234">
        <f t="shared" si="6"/>
        <v>67</v>
      </c>
      <c r="C234" t="s">
        <v>5</v>
      </c>
      <c r="D234" t="s">
        <v>196</v>
      </c>
      <c r="E234" t="str">
        <f t="shared" si="7"/>
        <v>AEAS (MIL-001-339)</v>
      </c>
      <c r="F234" s="6" t="s">
        <v>463</v>
      </c>
      <c r="G234" t="s">
        <v>766</v>
      </c>
    </row>
    <row r="235" spans="2:7">
      <c r="B235">
        <f t="shared" si="6"/>
        <v>67</v>
      </c>
      <c r="C235" t="s">
        <v>5</v>
      </c>
      <c r="D235" t="s">
        <v>197</v>
      </c>
      <c r="E235" t="str">
        <f t="shared" si="7"/>
        <v>AEBC (MIL-001-263)</v>
      </c>
      <c r="F235" s="6" t="s">
        <v>464</v>
      </c>
      <c r="G235" t="s">
        <v>767</v>
      </c>
    </row>
    <row r="236" spans="2:7">
      <c r="B236">
        <f t="shared" si="6"/>
        <v>67</v>
      </c>
      <c r="C236" t="s">
        <v>5</v>
      </c>
      <c r="D236" t="s">
        <v>198</v>
      </c>
      <c r="E236" t="str">
        <f t="shared" si="7"/>
        <v>AEBY (MIL-001-420)</v>
      </c>
      <c r="F236" s="6" t="s">
        <v>465</v>
      </c>
      <c r="G236" t="s">
        <v>768</v>
      </c>
    </row>
    <row r="237" spans="2:7">
      <c r="B237">
        <f t="shared" si="6"/>
        <v>67</v>
      </c>
      <c r="C237" t="s">
        <v>5</v>
      </c>
      <c r="D237" t="s">
        <v>199</v>
      </c>
      <c r="E237" t="str">
        <f t="shared" si="7"/>
        <v>AECJ (MIL-001-287)</v>
      </c>
      <c r="F237" s="11" t="s">
        <v>466</v>
      </c>
      <c r="G237" t="s">
        <v>769</v>
      </c>
    </row>
    <row r="238" spans="2:7">
      <c r="B238">
        <f t="shared" si="6"/>
        <v>67</v>
      </c>
      <c r="C238" t="s">
        <v>5</v>
      </c>
      <c r="D238" t="s">
        <v>200</v>
      </c>
      <c r="E238" t="str">
        <f t="shared" si="7"/>
        <v>AEC4 (MIL-001-766)</v>
      </c>
      <c r="F238" s="6" t="s">
        <v>467</v>
      </c>
      <c r="G238" t="s">
        <v>770</v>
      </c>
    </row>
    <row r="239" spans="2:7">
      <c r="B239">
        <f t="shared" si="6"/>
        <v>66</v>
      </c>
      <c r="C239" t="s">
        <v>3</v>
      </c>
      <c r="D239" t="s">
        <v>201</v>
      </c>
      <c r="E239" t="str">
        <f t="shared" si="7"/>
        <v>AEDQ (12574289)</v>
      </c>
      <c r="F239" s="3" t="s">
        <v>468</v>
      </c>
      <c r="G239" t="s">
        <v>771</v>
      </c>
    </row>
    <row r="240" spans="2:7">
      <c r="B240">
        <f t="shared" si="6"/>
        <v>67</v>
      </c>
      <c r="C240" t="s">
        <v>5</v>
      </c>
      <c r="D240" t="s">
        <v>202</v>
      </c>
      <c r="E240" t="str">
        <f t="shared" si="7"/>
        <v>AEEA (12574291)</v>
      </c>
      <c r="F240" s="12" t="s">
        <v>469</v>
      </c>
      <c r="G240" t="s">
        <v>772</v>
      </c>
    </row>
    <row r="241" spans="2:7">
      <c r="B241">
        <f t="shared" si="6"/>
        <v>68</v>
      </c>
      <c r="C241" t="s">
        <v>7</v>
      </c>
      <c r="D241" t="s">
        <v>203</v>
      </c>
      <c r="E241" t="str">
        <f t="shared" si="7"/>
        <v>AEEW (10910174-2)</v>
      </c>
      <c r="F241" s="7" t="s">
        <v>470</v>
      </c>
      <c r="G241" t="s">
        <v>773</v>
      </c>
    </row>
    <row r="242" spans="2:7">
      <c r="B242">
        <f t="shared" si="6"/>
        <v>68</v>
      </c>
      <c r="C242" t="s">
        <v>7</v>
      </c>
      <c r="D242" t="s">
        <v>204</v>
      </c>
      <c r="E242" t="str">
        <f t="shared" si="7"/>
        <v>AEFG (MS35338-45)</v>
      </c>
      <c r="F242" s="7" t="s">
        <v>471</v>
      </c>
      <c r="G242" t="s">
        <v>774</v>
      </c>
    </row>
    <row r="243" spans="2:7">
      <c r="B243">
        <f t="shared" si="6"/>
        <v>68</v>
      </c>
      <c r="C243" t="s">
        <v>7</v>
      </c>
      <c r="D243" t="s">
        <v>205</v>
      </c>
      <c r="E243" t="str">
        <f t="shared" si="7"/>
        <v>AEF2 (B1821BH031C100N)</v>
      </c>
      <c r="F243" s="7" t="s">
        <v>472</v>
      </c>
      <c r="G243" t="s">
        <v>775</v>
      </c>
    </row>
    <row r="244" spans="2:7">
      <c r="B244">
        <f t="shared" si="6"/>
        <v>67</v>
      </c>
      <c r="C244" t="s">
        <v>5</v>
      </c>
      <c r="D244" t="s">
        <v>206</v>
      </c>
      <c r="E244" t="str">
        <f t="shared" si="7"/>
        <v>AEGN (12574292)</v>
      </c>
      <c r="F244" s="12" t="s">
        <v>473</v>
      </c>
      <c r="G244" t="s">
        <v>776</v>
      </c>
    </row>
    <row r="245" spans="2:7">
      <c r="B245">
        <f t="shared" si="6"/>
        <v>67</v>
      </c>
      <c r="C245" t="s">
        <v>5</v>
      </c>
      <c r="D245" t="s">
        <v>207</v>
      </c>
      <c r="E245" t="str">
        <f t="shared" si="7"/>
        <v>AEG8 (12574293)</v>
      </c>
      <c r="F245" s="12" t="s">
        <v>474</v>
      </c>
      <c r="G245" t="s">
        <v>777</v>
      </c>
    </row>
    <row r="246" spans="2:7">
      <c r="B246">
        <f t="shared" si="6"/>
        <v>68</v>
      </c>
      <c r="C246" t="s">
        <v>7</v>
      </c>
      <c r="D246" t="s">
        <v>208</v>
      </c>
      <c r="E246" t="str">
        <f t="shared" si="7"/>
        <v>AEHU (10910174-3)</v>
      </c>
      <c r="F246" s="7" t="s">
        <v>475</v>
      </c>
      <c r="G246" t="s">
        <v>778</v>
      </c>
    </row>
    <row r="247" spans="2:7">
      <c r="B247">
        <f t="shared" si="6"/>
        <v>68</v>
      </c>
      <c r="C247" t="s">
        <v>7</v>
      </c>
      <c r="D247" t="s">
        <v>209</v>
      </c>
      <c r="E247" t="str">
        <f t="shared" si="7"/>
        <v>AEJE (MS35338-46)</v>
      </c>
      <c r="F247" s="7" t="s">
        <v>476</v>
      </c>
      <c r="G247" t="s">
        <v>779</v>
      </c>
    </row>
    <row r="248" spans="2:7">
      <c r="B248">
        <f t="shared" si="6"/>
        <v>68</v>
      </c>
      <c r="C248" t="s">
        <v>7</v>
      </c>
      <c r="D248" t="s">
        <v>210</v>
      </c>
      <c r="E248" t="str">
        <f t="shared" si="7"/>
        <v>AEJ0 (B1821BH038C125N)</v>
      </c>
      <c r="F248" s="7" t="s">
        <v>477</v>
      </c>
      <c r="G248" t="s">
        <v>780</v>
      </c>
    </row>
    <row r="249" spans="2:7">
      <c r="B249">
        <f t="shared" si="6"/>
        <v>68</v>
      </c>
      <c r="C249" t="s">
        <v>7</v>
      </c>
      <c r="D249" t="s">
        <v>211</v>
      </c>
      <c r="E249" t="str">
        <f t="shared" si="7"/>
        <v>AEKL (12574304)</v>
      </c>
      <c r="F249" s="12" t="s">
        <v>478</v>
      </c>
      <c r="G249" t="s">
        <v>781</v>
      </c>
    </row>
    <row r="250" spans="2:7">
      <c r="B250">
        <f t="shared" si="6"/>
        <v>68</v>
      </c>
      <c r="C250" t="s">
        <v>7</v>
      </c>
      <c r="D250" t="s">
        <v>212</v>
      </c>
      <c r="E250" t="str">
        <f t="shared" si="7"/>
        <v>AEK6 (12574317)</v>
      </c>
      <c r="F250" s="12" t="s">
        <v>479</v>
      </c>
      <c r="G250" t="s">
        <v>782</v>
      </c>
    </row>
    <row r="251" spans="2:7">
      <c r="B251">
        <f t="shared" si="6"/>
        <v>68</v>
      </c>
      <c r="C251" t="s">
        <v>7</v>
      </c>
      <c r="D251" t="s">
        <v>213</v>
      </c>
      <c r="E251" t="str">
        <f t="shared" si="7"/>
        <v>AELS (6157K16)</v>
      </c>
      <c r="F251" s="12" t="s">
        <v>480</v>
      </c>
      <c r="G251" t="s">
        <v>783</v>
      </c>
    </row>
    <row r="252" spans="2:7">
      <c r="B252">
        <f t="shared" si="6"/>
        <v>68</v>
      </c>
      <c r="C252" t="s">
        <v>7</v>
      </c>
      <c r="D252" t="s">
        <v>214</v>
      </c>
      <c r="E252" t="str">
        <f t="shared" si="7"/>
        <v>AEMC (12574294)</v>
      </c>
      <c r="F252" s="7" t="s">
        <v>481</v>
      </c>
      <c r="G252" t="s">
        <v>784</v>
      </c>
    </row>
    <row r="253" spans="2:7">
      <c r="B253">
        <f t="shared" si="6"/>
        <v>68</v>
      </c>
      <c r="C253" t="s">
        <v>7</v>
      </c>
      <c r="D253" t="s">
        <v>215</v>
      </c>
      <c r="E253" t="str">
        <f t="shared" si="7"/>
        <v>AEMY (DIN125 A13-200HV-A3C)</v>
      </c>
      <c r="F253" s="7" t="s">
        <v>482</v>
      </c>
      <c r="G253" t="s">
        <v>785</v>
      </c>
    </row>
    <row r="254" spans="2:7">
      <c r="B254">
        <f t="shared" si="6"/>
        <v>68</v>
      </c>
      <c r="C254" t="s">
        <v>7</v>
      </c>
      <c r="D254" t="s">
        <v>216</v>
      </c>
      <c r="E254" t="str">
        <f t="shared" si="7"/>
        <v>AENJ (DIN127-B12-A4C)</v>
      </c>
      <c r="F254" s="7" t="s">
        <v>483</v>
      </c>
      <c r="G254" t="s">
        <v>786</v>
      </c>
    </row>
    <row r="255" spans="2:7">
      <c r="B255">
        <f t="shared" si="6"/>
        <v>68</v>
      </c>
      <c r="C255" t="s">
        <v>7</v>
      </c>
      <c r="D255" t="s">
        <v>217</v>
      </c>
      <c r="E255" t="str">
        <f t="shared" si="7"/>
        <v>AEN4 (ISO4014-M12X40-8.8-A2D)</v>
      </c>
      <c r="F255" s="7" t="s">
        <v>484</v>
      </c>
      <c r="G255" t="s">
        <v>787</v>
      </c>
    </row>
    <row r="256" spans="2:7">
      <c r="B256">
        <f t="shared" si="6"/>
        <v>68</v>
      </c>
      <c r="C256" t="s">
        <v>7</v>
      </c>
      <c r="D256" t="s">
        <v>218</v>
      </c>
      <c r="E256" t="str">
        <f t="shared" si="7"/>
        <v>AEPQ (DIN934-M12-10-A3L)</v>
      </c>
      <c r="F256" s="7" t="s">
        <v>485</v>
      </c>
      <c r="G256" t="s">
        <v>788</v>
      </c>
    </row>
    <row r="257" spans="2:7">
      <c r="B257">
        <f t="shared" si="6"/>
        <v>67</v>
      </c>
      <c r="C257" t="s">
        <v>5</v>
      </c>
      <c r="D257" t="s">
        <v>219</v>
      </c>
      <c r="E257" t="str">
        <f t="shared" si="7"/>
        <v>AEQA (12574295)</v>
      </c>
      <c r="F257" s="7" t="s">
        <v>486</v>
      </c>
      <c r="G257" t="s">
        <v>789</v>
      </c>
    </row>
    <row r="258" spans="2:7">
      <c r="B258">
        <f t="shared" ref="B258:B309" si="8">CODE(C258)</f>
        <v>67</v>
      </c>
      <c r="C258" t="s">
        <v>5</v>
      </c>
      <c r="D258" t="s">
        <v>220</v>
      </c>
      <c r="E258" t="str">
        <f t="shared" ref="E258:E309" si="9">G258&amp;"(" &amp; D258 &amp; ")"</f>
        <v>AEQW (12574296)</v>
      </c>
      <c r="F258" s="7" t="s">
        <v>487</v>
      </c>
      <c r="G258" t="s">
        <v>790</v>
      </c>
    </row>
    <row r="259" spans="2:7">
      <c r="B259">
        <f t="shared" si="8"/>
        <v>68</v>
      </c>
      <c r="C259" t="s">
        <v>7</v>
      </c>
      <c r="D259" t="s">
        <v>221</v>
      </c>
      <c r="E259" t="str">
        <f t="shared" si="9"/>
        <v>AERG (12387279-18)</v>
      </c>
      <c r="F259" s="7" t="s">
        <v>488</v>
      </c>
      <c r="G259" t="s">
        <v>791</v>
      </c>
    </row>
    <row r="260" spans="2:7">
      <c r="B260">
        <f t="shared" si="8"/>
        <v>68</v>
      </c>
      <c r="C260" t="s">
        <v>7</v>
      </c>
      <c r="D260" t="s">
        <v>222</v>
      </c>
      <c r="E260" t="str">
        <f t="shared" si="9"/>
        <v>AER2 (MS35338-48)</v>
      </c>
      <c r="F260" s="7" t="s">
        <v>489</v>
      </c>
      <c r="G260" t="s">
        <v>792</v>
      </c>
    </row>
    <row r="261" spans="2:7">
      <c r="B261">
        <f t="shared" si="8"/>
        <v>68</v>
      </c>
      <c r="C261" t="s">
        <v>7</v>
      </c>
      <c r="D261" t="s">
        <v>223</v>
      </c>
      <c r="E261" t="str">
        <f t="shared" si="9"/>
        <v>AESN (92620A722)</v>
      </c>
      <c r="F261" s="7" t="s">
        <v>490</v>
      </c>
      <c r="G261" t="s">
        <v>793</v>
      </c>
    </row>
    <row r="262" spans="2:7">
      <c r="B262">
        <f t="shared" si="8"/>
        <v>68</v>
      </c>
      <c r="C262" t="s">
        <v>7</v>
      </c>
      <c r="D262" t="s">
        <v>224</v>
      </c>
      <c r="E262" t="str">
        <f t="shared" si="9"/>
        <v>AES8 (DIN125-A17-ST50-A2L)</v>
      </c>
      <c r="F262" s="7" t="s">
        <v>491</v>
      </c>
      <c r="G262" t="s">
        <v>794</v>
      </c>
    </row>
    <row r="263" spans="2:7">
      <c r="B263">
        <f t="shared" si="8"/>
        <v>68</v>
      </c>
      <c r="C263" t="s">
        <v>7</v>
      </c>
      <c r="D263" t="s">
        <v>225</v>
      </c>
      <c r="E263" t="str">
        <f t="shared" si="9"/>
        <v>AETU (ISO4014-M16X70-10.9-A2D)</v>
      </c>
      <c r="F263" s="7" t="s">
        <v>492</v>
      </c>
      <c r="G263" t="s">
        <v>795</v>
      </c>
    </row>
    <row r="264" spans="2:7">
      <c r="B264">
        <f t="shared" si="8"/>
        <v>68</v>
      </c>
      <c r="C264" t="s">
        <v>7</v>
      </c>
      <c r="D264" t="s">
        <v>226</v>
      </c>
      <c r="E264" t="str">
        <f t="shared" si="9"/>
        <v>AEUE (10910174-8)</v>
      </c>
      <c r="F264" s="7" t="s">
        <v>493</v>
      </c>
      <c r="G264" t="s">
        <v>796</v>
      </c>
    </row>
    <row r="265" spans="2:7">
      <c r="B265">
        <f t="shared" si="8"/>
        <v>68</v>
      </c>
      <c r="C265" t="s">
        <v>7</v>
      </c>
      <c r="D265" t="s">
        <v>227</v>
      </c>
      <c r="E265" t="str">
        <f t="shared" si="9"/>
        <v>AEU0 (MS35338-51)</v>
      </c>
      <c r="F265" s="7" t="s">
        <v>494</v>
      </c>
      <c r="G265" t="s">
        <v>797</v>
      </c>
    </row>
    <row r="266" spans="2:7">
      <c r="B266">
        <f t="shared" si="8"/>
        <v>68</v>
      </c>
      <c r="C266" t="s">
        <v>7</v>
      </c>
      <c r="D266" t="s">
        <v>228</v>
      </c>
      <c r="E266" t="str">
        <f t="shared" si="9"/>
        <v>AEVL (12387305-24)</v>
      </c>
      <c r="F266" s="7" t="s">
        <v>495</v>
      </c>
      <c r="G266" t="s">
        <v>798</v>
      </c>
    </row>
    <row r="267" spans="2:7">
      <c r="B267">
        <f t="shared" si="8"/>
        <v>68</v>
      </c>
      <c r="C267" t="s">
        <v>7</v>
      </c>
      <c r="D267" t="s">
        <v>229</v>
      </c>
      <c r="E267" t="str">
        <f t="shared" si="9"/>
        <v>AEV6 (B1821BH075C550N)</v>
      </c>
      <c r="F267" s="7" t="s">
        <v>496</v>
      </c>
      <c r="G267" t="s">
        <v>799</v>
      </c>
    </row>
    <row r="268" spans="2:7">
      <c r="B268">
        <f t="shared" si="8"/>
        <v>67</v>
      </c>
      <c r="C268" t="s">
        <v>5</v>
      </c>
      <c r="D268" t="s">
        <v>230</v>
      </c>
      <c r="E268" t="str">
        <f t="shared" si="9"/>
        <v>AEWS (12574297)</v>
      </c>
      <c r="F268" s="7" t="s">
        <v>497</v>
      </c>
      <c r="G268" t="s">
        <v>800</v>
      </c>
    </row>
    <row r="269" spans="2:7">
      <c r="B269">
        <f t="shared" si="8"/>
        <v>68</v>
      </c>
      <c r="C269" t="s">
        <v>7</v>
      </c>
      <c r="D269" t="s">
        <v>231</v>
      </c>
      <c r="E269" t="str">
        <f t="shared" si="9"/>
        <v>AEXC (90185A589)</v>
      </c>
      <c r="F269" s="7" t="s">
        <v>498</v>
      </c>
      <c r="G269" t="s">
        <v>801</v>
      </c>
    </row>
    <row r="270" spans="2:7">
      <c r="B270">
        <f t="shared" si="8"/>
        <v>68</v>
      </c>
      <c r="C270" t="s">
        <v>7</v>
      </c>
      <c r="D270" t="s">
        <v>203</v>
      </c>
      <c r="E270" t="str">
        <f t="shared" si="9"/>
        <v>AEXY (10910174-2)</v>
      </c>
      <c r="F270" s="7" t="s">
        <v>470</v>
      </c>
      <c r="G270" t="s">
        <v>802</v>
      </c>
    </row>
    <row r="271" spans="2:7">
      <c r="B271">
        <f t="shared" si="8"/>
        <v>68</v>
      </c>
      <c r="C271" t="s">
        <v>7</v>
      </c>
      <c r="D271" t="s">
        <v>204</v>
      </c>
      <c r="E271" t="str">
        <f t="shared" si="9"/>
        <v>AEYJ (MS35338-45)</v>
      </c>
      <c r="F271" s="7" t="s">
        <v>471</v>
      </c>
      <c r="G271" t="s">
        <v>803</v>
      </c>
    </row>
    <row r="272" spans="2:7">
      <c r="B272">
        <f t="shared" si="8"/>
        <v>68</v>
      </c>
      <c r="C272" t="s">
        <v>7</v>
      </c>
      <c r="D272" t="s">
        <v>232</v>
      </c>
      <c r="E272" t="str">
        <f t="shared" si="9"/>
        <v>AEY4 (12387305-6)</v>
      </c>
      <c r="F272" s="7" t="s">
        <v>499</v>
      </c>
      <c r="G272" t="s">
        <v>804</v>
      </c>
    </row>
    <row r="273" spans="2:7">
      <c r="B273">
        <f t="shared" si="8"/>
        <v>67</v>
      </c>
      <c r="C273" t="s">
        <v>5</v>
      </c>
      <c r="D273" t="s">
        <v>233</v>
      </c>
      <c r="E273" t="str">
        <f t="shared" si="9"/>
        <v>AEZQ (12574298)</v>
      </c>
      <c r="F273" s="7" t="s">
        <v>500</v>
      </c>
      <c r="G273" t="s">
        <v>805</v>
      </c>
    </row>
    <row r="274" spans="2:7">
      <c r="B274">
        <f t="shared" si="8"/>
        <v>67</v>
      </c>
      <c r="C274" t="s">
        <v>5</v>
      </c>
      <c r="D274" t="s">
        <v>234</v>
      </c>
      <c r="E274" t="str">
        <f t="shared" si="9"/>
        <v>AE0A (12574299)</v>
      </c>
      <c r="F274" s="7" t="s">
        <v>501</v>
      </c>
      <c r="G274" t="s">
        <v>806</v>
      </c>
    </row>
    <row r="275" spans="2:7">
      <c r="B275">
        <f t="shared" si="8"/>
        <v>68</v>
      </c>
      <c r="C275" t="s">
        <v>7</v>
      </c>
      <c r="D275" t="s">
        <v>235</v>
      </c>
      <c r="E275" t="str">
        <f t="shared" si="9"/>
        <v>AE0W (9217K55)</v>
      </c>
      <c r="F275" s="7" t="s">
        <v>502</v>
      </c>
      <c r="G275" t="s">
        <v>807</v>
      </c>
    </row>
    <row r="276" spans="2:7">
      <c r="B276">
        <f t="shared" si="8"/>
        <v>68</v>
      </c>
      <c r="C276" t="s">
        <v>7</v>
      </c>
      <c r="D276" t="s">
        <v>236</v>
      </c>
      <c r="E276" t="str">
        <f t="shared" si="9"/>
        <v>AE1G (90096A550)</v>
      </c>
      <c r="F276" s="7" t="s">
        <v>503</v>
      </c>
      <c r="G276" t="s">
        <v>808</v>
      </c>
    </row>
    <row r="277" spans="2:7">
      <c r="B277">
        <f t="shared" si="8"/>
        <v>68</v>
      </c>
      <c r="C277" t="s">
        <v>7</v>
      </c>
      <c r="D277" t="s">
        <v>271</v>
      </c>
      <c r="E277" t="str">
        <f t="shared" si="9"/>
        <v>AE12 (M459131-4CG8Z)</v>
      </c>
      <c r="F277" s="7" t="s">
        <v>504</v>
      </c>
      <c r="G277" t="s">
        <v>809</v>
      </c>
    </row>
    <row r="278" spans="2:7">
      <c r="B278">
        <f t="shared" si="8"/>
        <v>68</v>
      </c>
      <c r="C278" t="s">
        <v>7</v>
      </c>
      <c r="D278" t="s">
        <v>237</v>
      </c>
      <c r="E278" t="str">
        <f t="shared" si="9"/>
        <v>AE2N (DIN125-10.5)</v>
      </c>
      <c r="F278" s="7" t="s">
        <v>505</v>
      </c>
      <c r="G278" t="s">
        <v>810</v>
      </c>
    </row>
    <row r="279" spans="2:7">
      <c r="B279">
        <f t="shared" si="8"/>
        <v>68</v>
      </c>
      <c r="C279" t="s">
        <v>7</v>
      </c>
      <c r="D279" t="s">
        <v>238</v>
      </c>
      <c r="E279" t="str">
        <f t="shared" si="9"/>
        <v>AE28 (DIN985-M10-A4C)</v>
      </c>
      <c r="F279" s="7" t="s">
        <v>506</v>
      </c>
      <c r="G279" t="s">
        <v>811</v>
      </c>
    </row>
    <row r="280" spans="2:7">
      <c r="B280">
        <f t="shared" si="8"/>
        <v>67</v>
      </c>
      <c r="C280" t="s">
        <v>5</v>
      </c>
      <c r="D280" t="s">
        <v>239</v>
      </c>
      <c r="E280" t="str">
        <f t="shared" si="9"/>
        <v>AE3U (12574300)</v>
      </c>
      <c r="F280" s="7" t="s">
        <v>507</v>
      </c>
      <c r="G280" t="s">
        <v>812</v>
      </c>
    </row>
    <row r="281" spans="2:7">
      <c r="B281">
        <f t="shared" si="8"/>
        <v>68</v>
      </c>
      <c r="C281" t="s">
        <v>7</v>
      </c>
      <c r="D281" t="s">
        <v>240</v>
      </c>
      <c r="E281" t="str">
        <f t="shared" si="9"/>
        <v>AE4E (12574301)</v>
      </c>
      <c r="F281" s="7" t="s">
        <v>508</v>
      </c>
      <c r="G281" t="s">
        <v>813</v>
      </c>
    </row>
    <row r="282" spans="2:7">
      <c r="B282">
        <f t="shared" si="8"/>
        <v>68</v>
      </c>
      <c r="C282" t="s">
        <v>7</v>
      </c>
      <c r="D282" t="s">
        <v>241</v>
      </c>
      <c r="E282" t="str">
        <f t="shared" si="9"/>
        <v>AE40 (12574302)</v>
      </c>
      <c r="F282" s="7" t="s">
        <v>509</v>
      </c>
      <c r="G282" t="s">
        <v>814</v>
      </c>
    </row>
    <row r="283" spans="2:7">
      <c r="B283">
        <f t="shared" si="8"/>
        <v>68</v>
      </c>
      <c r="C283" t="s">
        <v>7</v>
      </c>
      <c r="D283" t="s">
        <v>242</v>
      </c>
      <c r="E283" t="str">
        <f t="shared" si="9"/>
        <v>AE5L (12574303)</v>
      </c>
      <c r="F283" s="7" t="s">
        <v>510</v>
      </c>
      <c r="G283" t="s">
        <v>815</v>
      </c>
    </row>
    <row r="284" spans="2:7">
      <c r="B284">
        <f t="shared" si="8"/>
        <v>68</v>
      </c>
      <c r="C284" t="s">
        <v>7</v>
      </c>
      <c r="D284" t="s">
        <v>211</v>
      </c>
      <c r="E284" t="str">
        <f t="shared" si="9"/>
        <v>AE56 (12574304)</v>
      </c>
      <c r="F284" s="7" t="s">
        <v>511</v>
      </c>
      <c r="G284" t="s">
        <v>816</v>
      </c>
    </row>
    <row r="285" spans="2:7">
      <c r="B285">
        <f t="shared" si="8"/>
        <v>68</v>
      </c>
      <c r="C285" t="s">
        <v>7</v>
      </c>
      <c r="D285" t="s">
        <v>243</v>
      </c>
      <c r="E285" t="str">
        <f t="shared" si="9"/>
        <v>AE6S (12574305)</v>
      </c>
      <c r="F285" s="7" t="s">
        <v>512</v>
      </c>
      <c r="G285" t="s">
        <v>817</v>
      </c>
    </row>
    <row r="286" spans="2:7">
      <c r="B286">
        <f t="shared" si="8"/>
        <v>68</v>
      </c>
      <c r="C286" t="s">
        <v>7</v>
      </c>
      <c r="D286" t="s">
        <v>236</v>
      </c>
      <c r="E286" t="str">
        <f t="shared" si="9"/>
        <v>AE7C (90096A550)</v>
      </c>
      <c r="F286" s="7" t="s">
        <v>513</v>
      </c>
      <c r="G286" t="s">
        <v>818</v>
      </c>
    </row>
    <row r="287" spans="2:7">
      <c r="B287">
        <f t="shared" si="8"/>
        <v>68</v>
      </c>
      <c r="C287" t="s">
        <v>7</v>
      </c>
      <c r="D287" t="s">
        <v>244</v>
      </c>
      <c r="E287" t="str">
        <f t="shared" si="9"/>
        <v>AE7Y (98412A215)</v>
      </c>
      <c r="F287" s="7" t="s">
        <v>514</v>
      </c>
      <c r="G287" t="s">
        <v>819</v>
      </c>
    </row>
    <row r="288" spans="2:7">
      <c r="B288">
        <f t="shared" si="8"/>
        <v>68</v>
      </c>
      <c r="C288" t="s">
        <v>7</v>
      </c>
      <c r="D288" t="s">
        <v>245</v>
      </c>
      <c r="E288" t="str">
        <f t="shared" si="9"/>
        <v>AE8J (B1821BH050C150N)</v>
      </c>
      <c r="F288" s="7" t="s">
        <v>515</v>
      </c>
      <c r="G288" t="s">
        <v>820</v>
      </c>
    </row>
    <row r="289" spans="2:7">
      <c r="B289">
        <f t="shared" si="8"/>
        <v>68</v>
      </c>
      <c r="C289" t="s">
        <v>7</v>
      </c>
      <c r="D289" t="s">
        <v>222</v>
      </c>
      <c r="E289" t="str">
        <f t="shared" si="9"/>
        <v>AE84 (MS35338-48)</v>
      </c>
      <c r="F289" s="7" t="s">
        <v>516</v>
      </c>
      <c r="G289" t="s">
        <v>821</v>
      </c>
    </row>
    <row r="290" spans="2:7">
      <c r="B290">
        <f t="shared" si="8"/>
        <v>68</v>
      </c>
      <c r="C290" t="s">
        <v>7</v>
      </c>
      <c r="D290" t="s">
        <v>246</v>
      </c>
      <c r="E290" t="str">
        <f t="shared" si="9"/>
        <v>AE9Q (LT1504-C8-10)</v>
      </c>
      <c r="F290" s="7" t="s">
        <v>517</v>
      </c>
      <c r="G290" t="s">
        <v>822</v>
      </c>
    </row>
    <row r="291" spans="2:7">
      <c r="B291">
        <f t="shared" si="8"/>
        <v>68</v>
      </c>
      <c r="C291" t="s">
        <v>7</v>
      </c>
      <c r="D291" t="s">
        <v>247</v>
      </c>
      <c r="E291" t="str">
        <f t="shared" si="9"/>
        <v>AFAA (MS24671-30)</v>
      </c>
      <c r="F291" s="7" t="s">
        <v>518</v>
      </c>
      <c r="G291" t="s">
        <v>823</v>
      </c>
    </row>
    <row r="292" spans="2:7">
      <c r="B292">
        <f t="shared" si="8"/>
        <v>67</v>
      </c>
      <c r="C292" t="s">
        <v>5</v>
      </c>
      <c r="D292" t="s">
        <v>242</v>
      </c>
      <c r="E292" t="str">
        <f t="shared" si="9"/>
        <v>AFAW (12574303)</v>
      </c>
      <c r="F292" s="7" t="s">
        <v>519</v>
      </c>
      <c r="G292" t="s">
        <v>824</v>
      </c>
    </row>
    <row r="293" spans="2:7">
      <c r="B293">
        <f t="shared" si="8"/>
        <v>68</v>
      </c>
      <c r="C293" t="s">
        <v>7</v>
      </c>
      <c r="D293" t="s">
        <v>218</v>
      </c>
      <c r="E293" t="str">
        <f t="shared" si="9"/>
        <v>AFBG (DIN934-M12-10-A3L)</v>
      </c>
      <c r="F293" s="7" t="s">
        <v>485</v>
      </c>
      <c r="G293" t="s">
        <v>825</v>
      </c>
    </row>
    <row r="294" spans="2:7">
      <c r="B294">
        <f t="shared" si="8"/>
        <v>68</v>
      </c>
      <c r="C294" t="s">
        <v>7</v>
      </c>
      <c r="D294" t="s">
        <v>215</v>
      </c>
      <c r="E294" t="str">
        <f t="shared" si="9"/>
        <v>AFB2 (DIN125 A13-200HV-A3C)</v>
      </c>
      <c r="F294" s="7" t="s">
        <v>482</v>
      </c>
      <c r="G294" t="s">
        <v>826</v>
      </c>
    </row>
    <row r="295" spans="2:7">
      <c r="B295">
        <f t="shared" si="8"/>
        <v>68</v>
      </c>
      <c r="C295" t="s">
        <v>7</v>
      </c>
      <c r="D295" t="s">
        <v>216</v>
      </c>
      <c r="E295" t="str">
        <f t="shared" si="9"/>
        <v>AFCN (DIN127-B12-A4C)</v>
      </c>
      <c r="F295" s="7" t="s">
        <v>520</v>
      </c>
      <c r="G295" t="s">
        <v>827</v>
      </c>
    </row>
    <row r="296" spans="2:7">
      <c r="B296">
        <f t="shared" si="8"/>
        <v>68</v>
      </c>
      <c r="C296" t="s">
        <v>7</v>
      </c>
      <c r="D296" t="s">
        <v>248</v>
      </c>
      <c r="E296" t="str">
        <f t="shared" si="9"/>
        <v>AFC8 (ISO4014-M12X60-8.8-A2D)</v>
      </c>
      <c r="F296" s="7" t="s">
        <v>521</v>
      </c>
      <c r="G296" t="s">
        <v>828</v>
      </c>
    </row>
    <row r="297" spans="2:7">
      <c r="B297">
        <f t="shared" si="8"/>
        <v>67</v>
      </c>
      <c r="C297" t="s">
        <v>5</v>
      </c>
      <c r="D297" t="s">
        <v>249</v>
      </c>
      <c r="E297" t="str">
        <f t="shared" si="9"/>
        <v>AFDU (16055T26)</v>
      </c>
      <c r="F297" s="13" t="s">
        <v>522</v>
      </c>
      <c r="G297" t="s">
        <v>829</v>
      </c>
    </row>
    <row r="298" spans="2:7">
      <c r="B298">
        <f t="shared" si="8"/>
        <v>67</v>
      </c>
      <c r="C298" t="s">
        <v>5</v>
      </c>
      <c r="D298" t="s">
        <v>250</v>
      </c>
      <c r="E298" t="str">
        <f t="shared" si="9"/>
        <v>AFEE (12574290)</v>
      </c>
      <c r="F298" s="13" t="s">
        <v>523</v>
      </c>
      <c r="G298" t="s">
        <v>830</v>
      </c>
    </row>
    <row r="299" spans="2:7">
      <c r="B299">
        <f t="shared" si="8"/>
        <v>68</v>
      </c>
      <c r="C299" t="s">
        <v>7</v>
      </c>
      <c r="D299" t="s">
        <v>251</v>
      </c>
      <c r="E299" t="str">
        <f t="shared" si="9"/>
        <v>AFE0 (MIL-001-665)</v>
      </c>
      <c r="F299" s="14" t="s">
        <v>524</v>
      </c>
      <c r="G299" t="s">
        <v>831</v>
      </c>
    </row>
    <row r="300" spans="2:7">
      <c r="B300">
        <f t="shared" si="8"/>
        <v>68</v>
      </c>
      <c r="C300" t="s">
        <v>7</v>
      </c>
      <c r="D300" t="s">
        <v>252</v>
      </c>
      <c r="E300" t="str">
        <f t="shared" si="9"/>
        <v>AFFL (MIL-001-666)</v>
      </c>
      <c r="F300" s="14" t="s">
        <v>525</v>
      </c>
      <c r="G300" t="s">
        <v>832</v>
      </c>
    </row>
    <row r="301" spans="2:7">
      <c r="B301">
        <f t="shared" si="8"/>
        <v>68</v>
      </c>
      <c r="C301" t="s">
        <v>7</v>
      </c>
      <c r="D301" t="s">
        <v>253</v>
      </c>
      <c r="E301" t="str">
        <f t="shared" si="9"/>
        <v>AFF6 (MIL-001-836)</v>
      </c>
      <c r="F301" s="4" t="s">
        <v>526</v>
      </c>
      <c r="G301" t="s">
        <v>833</v>
      </c>
    </row>
    <row r="302" spans="2:7">
      <c r="B302">
        <f t="shared" si="8"/>
        <v>68</v>
      </c>
      <c r="C302" t="s">
        <v>7</v>
      </c>
      <c r="D302" t="s">
        <v>254</v>
      </c>
      <c r="E302" t="str">
        <f t="shared" si="9"/>
        <v>AFGS (MIL-001-656)</v>
      </c>
      <c r="F302" s="14" t="s">
        <v>527</v>
      </c>
      <c r="G302" t="s">
        <v>834</v>
      </c>
    </row>
    <row r="303" spans="2:7">
      <c r="B303">
        <f t="shared" si="8"/>
        <v>68</v>
      </c>
      <c r="C303" t="s">
        <v>7</v>
      </c>
      <c r="D303" t="s">
        <v>255</v>
      </c>
      <c r="E303" t="str">
        <f t="shared" si="9"/>
        <v>AFHC (MIL-001-657)</v>
      </c>
      <c r="F303" s="14" t="s">
        <v>528</v>
      </c>
      <c r="G303" t="s">
        <v>835</v>
      </c>
    </row>
    <row r="304" spans="2:7">
      <c r="B304">
        <f t="shared" si="8"/>
        <v>68</v>
      </c>
      <c r="C304" t="s">
        <v>7</v>
      </c>
      <c r="D304" t="s">
        <v>256</v>
      </c>
      <c r="E304" t="str">
        <f t="shared" si="9"/>
        <v>AFHY (MIL-001-1259)</v>
      </c>
      <c r="F304" s="14" t="s">
        <v>529</v>
      </c>
      <c r="G304" t="s">
        <v>836</v>
      </c>
    </row>
    <row r="305" spans="2:7">
      <c r="B305">
        <f t="shared" si="8"/>
        <v>68</v>
      </c>
      <c r="C305" t="s">
        <v>7</v>
      </c>
      <c r="D305" t="s">
        <v>257</v>
      </c>
      <c r="E305" t="str">
        <f t="shared" si="9"/>
        <v>AFJJ (MIL-001-662)</v>
      </c>
      <c r="F305" s="4" t="s">
        <v>530</v>
      </c>
      <c r="G305" t="s">
        <v>837</v>
      </c>
    </row>
    <row r="306" spans="2:7">
      <c r="B306">
        <f t="shared" si="8"/>
        <v>68</v>
      </c>
      <c r="C306" t="s">
        <v>7</v>
      </c>
      <c r="D306" t="s">
        <v>258</v>
      </c>
      <c r="E306" t="str">
        <f t="shared" si="9"/>
        <v>AFJ4 (MIL-001-663)</v>
      </c>
      <c r="F306" s="4" t="s">
        <v>531</v>
      </c>
      <c r="G306" t="s">
        <v>838</v>
      </c>
    </row>
    <row r="307" spans="2:7">
      <c r="B307">
        <f t="shared" si="8"/>
        <v>68</v>
      </c>
      <c r="C307" t="s">
        <v>7</v>
      </c>
      <c r="D307" t="s">
        <v>259</v>
      </c>
      <c r="E307" t="str">
        <f t="shared" si="9"/>
        <v>AFKQ (MIL-001-664)</v>
      </c>
      <c r="F307" s="4" t="s">
        <v>532</v>
      </c>
      <c r="G307" t="s">
        <v>839</v>
      </c>
    </row>
    <row r="308" spans="2:7">
      <c r="B308">
        <f t="shared" si="8"/>
        <v>68</v>
      </c>
      <c r="C308" t="s">
        <v>7</v>
      </c>
      <c r="D308" t="s">
        <v>260</v>
      </c>
      <c r="E308" t="str">
        <f t="shared" si="9"/>
        <v>AFLA (MIL-001-1535)</v>
      </c>
      <c r="F308" s="13" t="s">
        <v>533</v>
      </c>
      <c r="G308" t="s">
        <v>840</v>
      </c>
    </row>
    <row r="309" spans="2:7">
      <c r="B309">
        <f t="shared" si="8"/>
        <v>68</v>
      </c>
      <c r="C309" t="s">
        <v>7</v>
      </c>
      <c r="D309" t="s">
        <v>261</v>
      </c>
      <c r="E309" t="str">
        <f t="shared" si="9"/>
        <v>AFLW (MIL-001-1536)</v>
      </c>
      <c r="F309" s="13" t="s">
        <v>534</v>
      </c>
      <c r="G309" t="s">
        <v>841</v>
      </c>
    </row>
    <row r="310" spans="2:7">
      <c r="F310" s="1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International Logistics Systems,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dgillespie</dc:creator>
  <cp:lastModifiedBy>dgillespie</cp:lastModifiedBy>
  <dcterms:created xsi:type="dcterms:W3CDTF">2014-08-05T13:47:27Z</dcterms:created>
  <dcterms:modified xsi:type="dcterms:W3CDTF">2014-08-14T18:16:48Z</dcterms:modified>
</cp:coreProperties>
</file>