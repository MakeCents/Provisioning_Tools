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660" yWindow="-15" windowWidth="24705" windowHeight="10905"/>
  </bookViews>
  <sheets>
    <sheet name="Sheet1" sheetId="1" r:id="rId1"/>
    <sheet name="Sheet2" sheetId="2" r:id="rId2"/>
    <sheet name="Sheet3" sheetId="3" r:id="rId3"/>
  </sheets>
  <externalReferences>
    <externalReference r:id="rId4"/>
  </externalReferences>
  <calcPr calcId="125725"/>
</workbook>
</file>

<file path=xl/calcChain.xml><?xml version="1.0" encoding="utf-8"?>
<calcChain xmlns="http://schemas.openxmlformats.org/spreadsheetml/2006/main">
  <c r="D515" i="1"/>
  <c r="D516"/>
  <c r="D518"/>
  <c r="D523"/>
  <c r="D524"/>
  <c r="D526"/>
  <c r="D528"/>
  <c r="D531"/>
  <c r="D534"/>
  <c r="D539"/>
  <c r="D540"/>
  <c r="D542"/>
  <c r="D543"/>
  <c r="D547"/>
  <c r="D550"/>
  <c r="D551"/>
  <c r="D555"/>
  <c r="D556"/>
  <c r="D558"/>
  <c r="D560"/>
  <c r="D563"/>
  <c r="D564"/>
  <c r="D566"/>
  <c r="D568"/>
  <c r="D571"/>
  <c r="D574"/>
  <c r="D582"/>
  <c r="D583"/>
  <c r="D587"/>
  <c r="D590"/>
  <c r="D591"/>
  <c r="D592"/>
  <c r="D595"/>
  <c r="D596"/>
  <c r="D598"/>
  <c r="D599"/>
  <c r="D603"/>
  <c r="D607"/>
  <c r="O49"/>
  <c r="N321"/>
  <c r="O414"/>
  <c r="P358"/>
  <c r="Q358" s="1"/>
  <c r="O346"/>
  <c r="P50"/>
  <c r="Q50" s="1"/>
  <c r="P514"/>
  <c r="Q514" s="1"/>
  <c r="L220"/>
  <c r="N236"/>
  <c r="O75"/>
  <c r="N407"/>
  <c r="L50"/>
  <c r="P138"/>
  <c r="Q138" s="1"/>
  <c r="O100"/>
  <c r="N27"/>
  <c r="O20"/>
  <c r="L170"/>
  <c r="L148"/>
  <c r="P397"/>
  <c r="Q397" s="1"/>
  <c r="O199"/>
  <c r="P40"/>
  <c r="Q40" s="1"/>
  <c r="O412"/>
  <c r="L449"/>
  <c r="L476"/>
  <c r="L400"/>
  <c r="P51"/>
  <c r="Q51" s="1"/>
  <c r="P52"/>
  <c r="Q52" s="1"/>
  <c r="L303"/>
  <c r="L163"/>
  <c r="L231"/>
  <c r="L118"/>
  <c r="P94"/>
  <c r="Q94" s="1"/>
  <c r="L431"/>
  <c r="L47"/>
  <c r="O74"/>
  <c r="N56"/>
  <c r="N224"/>
  <c r="P368"/>
  <c r="Q368" s="1"/>
  <c r="O167"/>
  <c r="P103"/>
  <c r="Q103" s="1"/>
  <c r="P218"/>
  <c r="Q218" s="1"/>
  <c r="O505"/>
  <c r="O402"/>
  <c r="L86"/>
  <c r="P331"/>
  <c r="Q331" s="1"/>
  <c r="O201"/>
  <c r="P121"/>
  <c r="Q121" s="1"/>
  <c r="O51"/>
  <c r="N49"/>
  <c r="O64"/>
  <c r="L75"/>
  <c r="L272"/>
  <c r="N103"/>
  <c r="L46"/>
  <c r="N214"/>
  <c r="L144"/>
  <c r="N419"/>
  <c r="P115"/>
  <c r="Q115" s="1"/>
  <c r="O216"/>
  <c r="O502"/>
  <c r="P90"/>
  <c r="Q90" s="1"/>
  <c r="O235"/>
  <c r="O191"/>
  <c r="O385"/>
  <c r="P498"/>
  <c r="Q498" s="1"/>
  <c r="L55"/>
  <c r="N166"/>
  <c r="P457"/>
  <c r="Q457" s="1"/>
  <c r="P398"/>
  <c r="Q398" s="1"/>
  <c r="P476"/>
  <c r="Q476" s="1"/>
  <c r="L103"/>
  <c r="L453"/>
  <c r="L105"/>
  <c r="N147"/>
  <c r="O348"/>
  <c r="P117"/>
  <c r="Q117" s="1"/>
  <c r="N333"/>
  <c r="P369"/>
  <c r="Q369" s="1"/>
  <c r="N403"/>
  <c r="L297"/>
  <c r="O160"/>
  <c r="P150"/>
  <c r="Q150" s="1"/>
  <c r="N441"/>
  <c r="L499"/>
  <c r="P399"/>
  <c r="Q399" s="1"/>
  <c r="P188"/>
  <c r="Q188" s="1"/>
  <c r="L314"/>
  <c r="P89"/>
  <c r="Q89" s="1"/>
  <c r="P460"/>
  <c r="Q460" s="1"/>
  <c r="P39"/>
  <c r="Q39" s="1"/>
  <c r="P27"/>
  <c r="Q27" s="1"/>
  <c r="O77"/>
  <c r="N99"/>
  <c r="P127"/>
  <c r="Q127" s="1"/>
  <c r="L446"/>
  <c r="N120"/>
  <c r="P344"/>
  <c r="Q344" s="1"/>
  <c r="O459"/>
  <c r="N465"/>
  <c r="L26"/>
  <c r="N161"/>
  <c r="L412"/>
  <c r="O43"/>
  <c r="N464"/>
  <c r="P307"/>
  <c r="Q307" s="1"/>
  <c r="L112"/>
  <c r="L388"/>
  <c r="O66"/>
  <c r="L399"/>
  <c r="L286"/>
  <c r="L76"/>
  <c r="L27"/>
  <c r="P423"/>
  <c r="Q423" s="1"/>
  <c r="L411"/>
  <c r="P167"/>
  <c r="Q167" s="1"/>
  <c r="N489"/>
  <c r="O148"/>
  <c r="P445"/>
  <c r="Q445" s="1"/>
  <c r="P324"/>
  <c r="Q324" s="1"/>
  <c r="L443"/>
  <c r="O340"/>
  <c r="L325"/>
  <c r="O410"/>
  <c r="O40"/>
  <c r="P155"/>
  <c r="Q155" s="1"/>
  <c r="L255"/>
  <c r="N387"/>
  <c r="P393"/>
  <c r="Q393" s="1"/>
  <c r="N420"/>
  <c r="O116"/>
  <c r="P236"/>
  <c r="Q236" s="1"/>
  <c r="N60"/>
  <c r="P492"/>
  <c r="Q492" s="1"/>
  <c r="N182"/>
  <c r="O131"/>
  <c r="L95"/>
  <c r="L265"/>
  <c r="O420"/>
  <c r="L246"/>
  <c r="N154"/>
  <c r="O85"/>
  <c r="P361"/>
  <c r="Q361" s="1"/>
  <c r="P485"/>
  <c r="Q485" s="1"/>
  <c r="N263"/>
  <c r="L117"/>
  <c r="O432"/>
  <c r="O370"/>
  <c r="P161"/>
  <c r="Q161" s="1"/>
  <c r="O447"/>
  <c r="N152"/>
  <c r="L414"/>
  <c r="P185"/>
  <c r="Q185" s="1"/>
  <c r="P408"/>
  <c r="Q408" s="1"/>
  <c r="N285"/>
  <c r="O166"/>
  <c r="P456"/>
  <c r="Q456" s="1"/>
  <c r="P207"/>
  <c r="Q207" s="1"/>
  <c r="L218"/>
  <c r="N189"/>
  <c r="P375"/>
  <c r="Q375" s="1"/>
  <c r="O337"/>
  <c r="P169"/>
  <c r="Q169" s="1"/>
  <c r="N391"/>
  <c r="O52"/>
  <c r="O435"/>
  <c r="L229"/>
  <c r="P97"/>
  <c r="Q97" s="1"/>
  <c r="P482"/>
  <c r="Q482" s="1"/>
  <c r="O224"/>
  <c r="L209"/>
  <c r="L262"/>
  <c r="P118"/>
  <c r="Q118" s="1"/>
  <c r="L168"/>
  <c r="O442"/>
  <c r="O453"/>
  <c r="P336"/>
  <c r="Q336" s="1"/>
  <c r="O203"/>
  <c r="P273"/>
  <c r="Q273" s="1"/>
  <c r="L233"/>
  <c r="O504"/>
  <c r="P86"/>
  <c r="Q86" s="1"/>
  <c r="O126"/>
  <c r="L352"/>
  <c r="L279"/>
  <c r="O478"/>
  <c r="P347"/>
  <c r="Q347" s="1"/>
  <c r="P113"/>
  <c r="Q113" s="1"/>
  <c r="O266"/>
  <c r="N399"/>
  <c r="L108"/>
  <c r="P458"/>
  <c r="Q458" s="1"/>
  <c r="L310"/>
  <c r="P16"/>
  <c r="Q16" s="1"/>
  <c r="O464"/>
  <c r="N208"/>
  <c r="L429"/>
  <c r="L357"/>
  <c r="P256"/>
  <c r="Q256" s="1"/>
  <c r="P68"/>
  <c r="Q68" s="1"/>
  <c r="N260"/>
  <c r="P510"/>
  <c r="Q510" s="1"/>
  <c r="O486"/>
  <c r="N375"/>
  <c r="L452"/>
  <c r="N479"/>
  <c r="N388"/>
  <c r="N473"/>
  <c r="L235"/>
  <c r="P203"/>
  <c r="Q203" s="1"/>
  <c r="P382"/>
  <c r="Q382" s="1"/>
  <c r="P427"/>
  <c r="Q427" s="1"/>
  <c r="P193"/>
  <c r="Q193" s="1"/>
  <c r="P70"/>
  <c r="Q70" s="1"/>
  <c r="O449"/>
  <c r="O418"/>
  <c r="P194"/>
  <c r="Q194" s="1"/>
  <c r="P428"/>
  <c r="Q428" s="1"/>
  <c r="O376"/>
  <c r="L501"/>
  <c r="N117"/>
  <c r="N123"/>
  <c r="O368"/>
  <c r="P315"/>
  <c r="Q315" s="1"/>
  <c r="N363"/>
  <c r="N129"/>
  <c r="L461"/>
  <c r="P388"/>
  <c r="Q388" s="1"/>
  <c r="P286"/>
  <c r="Q286" s="1"/>
  <c r="O295"/>
  <c r="L342"/>
  <c r="O425"/>
  <c r="L140"/>
  <c r="L19"/>
  <c r="P198"/>
  <c r="Q198" s="1"/>
  <c r="L245"/>
  <c r="L195"/>
  <c r="L43"/>
  <c r="O411"/>
  <c r="N458"/>
  <c r="L387"/>
  <c r="P335"/>
  <c r="Q335" s="1"/>
  <c r="L479"/>
  <c r="O53"/>
  <c r="L407"/>
  <c r="L173"/>
  <c r="P293"/>
  <c r="Q293" s="1"/>
  <c r="P116"/>
  <c r="Q116" s="1"/>
  <c r="N475"/>
  <c r="L16"/>
  <c r="L106"/>
  <c r="P439"/>
  <c r="Q439" s="1"/>
  <c r="P83"/>
  <c r="Q83" s="1"/>
  <c r="L97"/>
  <c r="N232"/>
  <c r="O490"/>
  <c r="P303"/>
  <c r="Q303" s="1"/>
  <c r="L336"/>
  <c r="O278"/>
  <c r="L377"/>
  <c r="N245"/>
  <c r="O213"/>
  <c r="O507"/>
  <c r="N25"/>
  <c r="L267"/>
  <c r="L258"/>
  <c r="P505"/>
  <c r="Q505" s="1"/>
  <c r="N96"/>
  <c r="L485"/>
  <c r="O481"/>
  <c r="O282"/>
  <c r="N50"/>
  <c r="L358"/>
  <c r="O284"/>
  <c r="P404"/>
  <c r="Q404" s="1"/>
  <c r="O283"/>
  <c r="L40"/>
  <c r="L192"/>
  <c r="O13"/>
  <c r="P348"/>
  <c r="Q348" s="1"/>
  <c r="P46"/>
  <c r="Q46" s="1"/>
  <c r="L197"/>
  <c r="L372"/>
  <c r="P459"/>
  <c r="Q459" s="1"/>
  <c r="P285"/>
  <c r="Q285" s="1"/>
  <c r="P238"/>
  <c r="Q238" s="1"/>
  <c r="N502"/>
  <c r="L13"/>
  <c r="P165"/>
  <c r="Q165" s="1"/>
  <c r="P99"/>
  <c r="Q99" s="1"/>
  <c r="N54"/>
  <c r="P229"/>
  <c r="Q229" s="1"/>
  <c r="L202"/>
  <c r="L433"/>
  <c r="P340"/>
  <c r="Q340" s="1"/>
  <c r="P204"/>
  <c r="Q204" s="1"/>
  <c r="P41"/>
  <c r="Q41" s="1"/>
  <c r="P157"/>
  <c r="Q157" s="1"/>
  <c r="N72"/>
  <c r="N246"/>
  <c r="N296"/>
  <c r="O140"/>
  <c r="L156"/>
  <c r="O461"/>
  <c r="P206"/>
  <c r="Q206" s="1"/>
  <c r="P425"/>
  <c r="Q425" s="1"/>
  <c r="L243"/>
  <c r="O215"/>
  <c r="P205"/>
  <c r="Q205" s="1"/>
  <c r="L217"/>
  <c r="P182"/>
  <c r="Q182" s="1"/>
  <c r="O79"/>
  <c r="P79"/>
  <c r="Q79" s="1"/>
  <c r="L468"/>
  <c r="N256"/>
  <c r="P263"/>
  <c r="Q263" s="1"/>
  <c r="O286"/>
  <c r="L368"/>
  <c r="L273"/>
  <c r="P377"/>
  <c r="Q377" s="1"/>
  <c r="N352"/>
  <c r="P249"/>
  <c r="Q249" s="1"/>
  <c r="O95"/>
  <c r="L206"/>
  <c r="L442"/>
  <c r="O12"/>
  <c r="O440"/>
  <c r="P96"/>
  <c r="Q96" s="1"/>
  <c r="O200"/>
  <c r="O103"/>
  <c r="P430"/>
  <c r="Q430" s="1"/>
  <c r="P191"/>
  <c r="Q191" s="1"/>
  <c r="O511"/>
  <c r="O394"/>
  <c r="O205"/>
  <c r="N289"/>
  <c r="L360"/>
  <c r="O90"/>
  <c r="P380"/>
  <c r="Q380" s="1"/>
  <c r="L455"/>
  <c r="L306"/>
  <c r="L101"/>
  <c r="N107"/>
  <c r="L347"/>
  <c r="O303"/>
  <c r="P402"/>
  <c r="Q402" s="1"/>
  <c r="N297"/>
  <c r="P276"/>
  <c r="Q276" s="1"/>
  <c r="P434"/>
  <c r="Q434" s="1"/>
  <c r="P257"/>
  <c r="Q257" s="1"/>
  <c r="L464"/>
  <c r="O458"/>
  <c r="L451"/>
  <c r="P59"/>
  <c r="Q59" s="1"/>
  <c r="N188"/>
  <c r="O120"/>
  <c r="P91"/>
  <c r="Q91" s="1"/>
  <c r="N298"/>
  <c r="O399"/>
  <c r="N493"/>
  <c r="N247"/>
  <c r="N227"/>
  <c r="N271"/>
  <c r="O18"/>
  <c r="N102"/>
  <c r="L164"/>
  <c r="O65"/>
  <c r="L406"/>
  <c r="P245"/>
  <c r="Q245" s="1"/>
  <c r="O366"/>
  <c r="L72"/>
  <c r="L17"/>
  <c r="P499"/>
  <c r="Q499" s="1"/>
  <c r="O94"/>
  <c r="P468"/>
  <c r="Q468" s="1"/>
  <c r="N491"/>
  <c r="N235"/>
  <c r="L339"/>
  <c r="L203"/>
  <c r="N341"/>
  <c r="P60"/>
  <c r="Q60" s="1"/>
  <c r="L311"/>
  <c r="N88"/>
  <c r="O238"/>
  <c r="L435"/>
  <c r="N119"/>
  <c r="O331"/>
  <c r="L313"/>
  <c r="L290"/>
  <c r="N228"/>
  <c r="O291"/>
  <c r="O234"/>
  <c r="L343"/>
  <c r="O320"/>
  <c r="L307"/>
  <c r="O173"/>
  <c r="L502"/>
  <c r="O221"/>
  <c r="O333"/>
  <c r="O208"/>
  <c r="P225"/>
  <c r="Q225" s="1"/>
  <c r="L184"/>
  <c r="N290"/>
  <c r="O122"/>
  <c r="N295"/>
  <c r="O268"/>
  <c r="N108"/>
  <c r="O299"/>
  <c r="O204"/>
  <c r="N379"/>
  <c r="O285"/>
  <c r="L88"/>
  <c r="N26"/>
  <c r="P444"/>
  <c r="Q444" s="1"/>
  <c r="N463"/>
  <c r="P224"/>
  <c r="Q224" s="1"/>
  <c r="P53"/>
  <c r="Q53" s="1"/>
  <c r="N142"/>
  <c r="N411"/>
  <c r="O86"/>
  <c r="L212"/>
  <c r="N328"/>
  <c r="P491"/>
  <c r="Q491" s="1"/>
  <c r="O292"/>
  <c r="P372"/>
  <c r="Q372" s="1"/>
  <c r="O298"/>
  <c r="L145"/>
  <c r="P153"/>
  <c r="Q153" s="1"/>
  <c r="P65"/>
  <c r="Q65" s="1"/>
  <c r="L408"/>
  <c r="L330"/>
  <c r="O311"/>
  <c r="L42"/>
  <c r="O465"/>
  <c r="L448"/>
  <c r="O404"/>
  <c r="L480"/>
  <c r="P296"/>
  <c r="Q296" s="1"/>
  <c r="P143"/>
  <c r="Q143" s="1"/>
  <c r="L201"/>
  <c r="L96"/>
  <c r="N339"/>
  <c r="P168"/>
  <c r="Q168" s="1"/>
  <c r="L470"/>
  <c r="L224"/>
  <c r="O371"/>
  <c r="O210"/>
  <c r="N190"/>
  <c r="O84"/>
  <c r="O54"/>
  <c r="O240"/>
  <c r="O441"/>
  <c r="P387"/>
  <c r="Q387" s="1"/>
  <c r="P187"/>
  <c r="Q187" s="1"/>
  <c r="N10"/>
  <c r="L317"/>
  <c r="N165"/>
  <c r="L215"/>
  <c r="P270"/>
  <c r="Q270" s="1"/>
  <c r="L68"/>
  <c r="L200"/>
  <c r="N480"/>
  <c r="O127"/>
  <c r="N474"/>
  <c r="O152"/>
  <c r="O448"/>
  <c r="O104"/>
  <c r="L474"/>
  <c r="N381"/>
  <c r="N283"/>
  <c r="O138"/>
  <c r="P462"/>
  <c r="Q462" s="1"/>
  <c r="O165"/>
  <c r="P504"/>
  <c r="Q504" s="1"/>
  <c r="O176"/>
  <c r="O71"/>
  <c r="O137"/>
  <c r="O147"/>
  <c r="N351"/>
  <c r="O211"/>
  <c r="L491"/>
  <c r="P230"/>
  <c r="Q230" s="1"/>
  <c r="L14"/>
  <c r="L256"/>
  <c r="L147"/>
  <c r="O133"/>
  <c r="P409"/>
  <c r="Q409" s="1"/>
  <c r="N356"/>
  <c r="L100"/>
  <c r="P507"/>
  <c r="Q507" s="1"/>
  <c r="P416"/>
  <c r="Q416" s="1"/>
  <c r="P480"/>
  <c r="Q480" s="1"/>
  <c r="O434"/>
  <c r="P175"/>
  <c r="Q175" s="1"/>
  <c r="L392"/>
  <c r="O452"/>
  <c r="L222"/>
  <c r="P14"/>
  <c r="Q14" s="1"/>
  <c r="P71"/>
  <c r="Q71" s="1"/>
  <c r="N511"/>
  <c r="L183"/>
  <c r="P110"/>
  <c r="Q110" s="1"/>
  <c r="O279"/>
  <c r="P126"/>
  <c r="Q126" s="1"/>
  <c r="L124"/>
  <c r="N87"/>
  <c r="L308"/>
  <c r="P178"/>
  <c r="Q178" s="1"/>
  <c r="P261"/>
  <c r="Q261" s="1"/>
  <c r="O407"/>
  <c r="L281"/>
  <c r="L219"/>
  <c r="O196"/>
  <c r="L329"/>
  <c r="O242"/>
  <c r="N261"/>
  <c r="P106"/>
  <c r="Q106" s="1"/>
  <c r="O307"/>
  <c r="P367"/>
  <c r="Q367" s="1"/>
  <c r="P67"/>
  <c r="Q67" s="1"/>
  <c r="N221"/>
  <c r="L81"/>
  <c r="P355"/>
  <c r="Q355" s="1"/>
  <c r="L278"/>
  <c r="N217"/>
  <c r="P364"/>
  <c r="Q364" s="1"/>
  <c r="L227"/>
  <c r="L12"/>
  <c r="N169"/>
  <c r="L280"/>
  <c r="O111"/>
  <c r="L239"/>
  <c r="L207"/>
  <c r="O306"/>
  <c r="O93"/>
  <c r="N476"/>
  <c r="N294"/>
  <c r="O92"/>
  <c r="L165"/>
  <c r="L434"/>
  <c r="L471"/>
  <c r="L155"/>
  <c r="O157"/>
  <c r="L354"/>
  <c r="O67"/>
  <c r="O178"/>
  <c r="N100"/>
  <c r="L111"/>
  <c r="L371"/>
  <c r="L94"/>
  <c r="N175"/>
  <c r="L321"/>
  <c r="N446"/>
  <c r="N158"/>
  <c r="O280"/>
  <c r="L288"/>
  <c r="P186"/>
  <c r="Q186" s="1"/>
  <c r="L193"/>
  <c r="O129"/>
  <c r="N173"/>
  <c r="L188"/>
  <c r="L114"/>
  <c r="N478"/>
  <c r="N396"/>
  <c r="L436"/>
  <c r="L66"/>
  <c r="L257"/>
  <c r="P295"/>
  <c r="Q295" s="1"/>
  <c r="P232"/>
  <c r="Q232" s="1"/>
  <c r="O88"/>
  <c r="L242"/>
  <c r="N241"/>
  <c r="O68"/>
  <c r="O17"/>
  <c r="N151"/>
  <c r="N483"/>
  <c r="N209"/>
  <c r="N131"/>
  <c r="O387"/>
  <c r="P262"/>
  <c r="Q262" s="1"/>
  <c r="L384"/>
  <c r="P359"/>
  <c r="Q359" s="1"/>
  <c r="P501"/>
  <c r="Q501" s="1"/>
  <c r="N408"/>
  <c r="O475"/>
  <c r="O468"/>
  <c r="L456"/>
  <c r="N499"/>
  <c r="N257"/>
  <c r="N79"/>
  <c r="N284"/>
  <c r="L160"/>
  <c r="P72"/>
  <c r="Q72" s="1"/>
  <c r="L483"/>
  <c r="N216"/>
  <c r="L460"/>
  <c r="P495"/>
  <c r="Q495" s="1"/>
  <c r="O386"/>
  <c r="O155"/>
  <c r="L472"/>
  <c r="O318"/>
  <c r="L130"/>
  <c r="O469"/>
  <c r="O47"/>
  <c r="O220"/>
  <c r="P219"/>
  <c r="Q219" s="1"/>
  <c r="N376"/>
  <c r="N472"/>
  <c r="N317"/>
  <c r="P163"/>
  <c r="Q163" s="1"/>
  <c r="N41"/>
  <c r="L373"/>
  <c r="O350"/>
  <c r="L419"/>
  <c r="P253"/>
  <c r="Q253" s="1"/>
  <c r="L441"/>
  <c r="O296"/>
  <c r="P343"/>
  <c r="Q343" s="1"/>
  <c r="P158"/>
  <c r="Q158" s="1"/>
  <c r="O145"/>
  <c r="L91"/>
  <c r="P226"/>
  <c r="Q226" s="1"/>
  <c r="O297"/>
  <c r="P484"/>
  <c r="Q484" s="1"/>
  <c r="N402"/>
  <c r="P237"/>
  <c r="Q237" s="1"/>
  <c r="P56"/>
  <c r="Q56" s="1"/>
  <c r="O450"/>
  <c r="O491"/>
  <c r="L59"/>
  <c r="P302"/>
  <c r="Q302" s="1"/>
  <c r="O101"/>
  <c r="O513"/>
  <c r="P192"/>
  <c r="Q192" s="1"/>
  <c r="P291"/>
  <c r="Q291" s="1"/>
  <c r="P47"/>
  <c r="Q47" s="1"/>
  <c r="O427"/>
  <c r="O302"/>
  <c r="P231"/>
  <c r="Q231" s="1"/>
  <c r="P223"/>
  <c r="Q223" s="1"/>
  <c r="L397"/>
  <c r="L353"/>
  <c r="L191"/>
  <c r="L158"/>
  <c r="P269"/>
  <c r="Q269" s="1"/>
  <c r="N113"/>
  <c r="N370"/>
  <c r="L463"/>
  <c r="P210"/>
  <c r="Q210" s="1"/>
  <c r="O330"/>
  <c r="O174"/>
  <c r="N179"/>
  <c r="O118"/>
  <c r="P228"/>
  <c r="Q228" s="1"/>
  <c r="P353"/>
  <c r="Q353" s="1"/>
  <c r="P19"/>
  <c r="Q19" s="1"/>
  <c r="P233"/>
  <c r="Q233" s="1"/>
  <c r="N457"/>
  <c r="P407"/>
  <c r="Q407" s="1"/>
  <c r="L236"/>
  <c r="O474"/>
  <c r="L60"/>
  <c r="O455"/>
  <c r="L386"/>
  <c r="L129"/>
  <c r="L128"/>
  <c r="P95"/>
  <c r="Q95" s="1"/>
  <c r="N192"/>
  <c r="O195"/>
  <c r="L498"/>
  <c r="N417"/>
  <c r="N319"/>
  <c r="N459"/>
  <c r="O187"/>
  <c r="P490"/>
  <c r="Q490" s="1"/>
  <c r="L135"/>
  <c r="P496"/>
  <c r="Q496" s="1"/>
  <c r="P239"/>
  <c r="Q239" s="1"/>
  <c r="N205"/>
  <c r="O72"/>
  <c r="O388"/>
  <c r="N230"/>
  <c r="O117"/>
  <c r="N470"/>
  <c r="N504"/>
  <c r="O373"/>
  <c r="O80"/>
  <c r="L199"/>
  <c r="L508"/>
  <c r="P152"/>
  <c r="Q152" s="1"/>
  <c r="N157"/>
  <c r="P212"/>
  <c r="Q212" s="1"/>
  <c r="N177"/>
  <c r="N487"/>
  <c r="P478"/>
  <c r="Q478" s="1"/>
  <c r="O110"/>
  <c r="N367"/>
  <c r="L326"/>
  <c r="O232"/>
  <c r="O438"/>
  <c r="O263"/>
  <c r="P244"/>
  <c r="Q244" s="1"/>
  <c r="P267"/>
  <c r="Q267" s="1"/>
  <c r="N266"/>
  <c r="L250"/>
  <c r="O277"/>
  <c r="N281"/>
  <c r="L316"/>
  <c r="P333"/>
  <c r="Q333" s="1"/>
  <c r="O472"/>
  <c r="O249"/>
  <c r="P292"/>
  <c r="Q292" s="1"/>
  <c r="O99"/>
  <c r="P471"/>
  <c r="Q471" s="1"/>
  <c r="L403"/>
  <c r="N222"/>
  <c r="P171"/>
  <c r="Q171" s="1"/>
  <c r="P288"/>
  <c r="Q288" s="1"/>
  <c r="N89"/>
  <c r="N500"/>
  <c r="O109"/>
  <c r="P280"/>
  <c r="Q280" s="1"/>
  <c r="L420"/>
  <c r="O48"/>
  <c r="N187"/>
  <c r="O223"/>
  <c r="L375"/>
  <c r="P164"/>
  <c r="Q164" s="1"/>
  <c r="N507"/>
  <c r="P406"/>
  <c r="Q406" s="1"/>
  <c r="L417"/>
  <c r="P209"/>
  <c r="Q209" s="1"/>
  <c r="L304"/>
  <c r="O25"/>
  <c r="P390"/>
  <c r="Q390" s="1"/>
  <c r="N251"/>
  <c r="N239"/>
  <c r="L110"/>
  <c r="P144"/>
  <c r="Q144" s="1"/>
  <c r="L274"/>
  <c r="P320"/>
  <c r="Q320" s="1"/>
  <c r="P440"/>
  <c r="Q440" s="1"/>
  <c r="L136"/>
  <c r="P366"/>
  <c r="Q366" s="1"/>
  <c r="N111"/>
  <c r="L142"/>
  <c r="P124"/>
  <c r="Q124" s="1"/>
  <c r="L157"/>
  <c r="L186"/>
  <c r="N338"/>
  <c r="N313"/>
  <c r="L180"/>
  <c r="L275"/>
  <c r="P196"/>
  <c r="Q196" s="1"/>
  <c r="N259"/>
  <c r="O396"/>
  <c r="O334"/>
  <c r="P215"/>
  <c r="Q215" s="1"/>
  <c r="P25"/>
  <c r="Q25" s="1"/>
  <c r="L513"/>
  <c r="O197"/>
  <c r="P463"/>
  <c r="Q463" s="1"/>
  <c r="L426"/>
  <c r="O257"/>
  <c r="L450"/>
  <c r="P128"/>
  <c r="Q128" s="1"/>
  <c r="N501"/>
  <c r="P438"/>
  <c r="Q438" s="1"/>
  <c r="O323"/>
  <c r="P389"/>
  <c r="Q389" s="1"/>
  <c r="P235"/>
  <c r="Q235" s="1"/>
  <c r="N139"/>
  <c r="L337"/>
  <c r="N127"/>
  <c r="P506"/>
  <c r="Q506" s="1"/>
  <c r="N287"/>
  <c r="O14"/>
  <c r="N14"/>
  <c r="O139"/>
  <c r="L291"/>
  <c r="O400"/>
  <c r="N456"/>
  <c r="N451"/>
  <c r="L126"/>
  <c r="L385"/>
  <c r="O492"/>
  <c r="L428"/>
  <c r="O172"/>
  <c r="O378"/>
  <c r="P243"/>
  <c r="Q243" s="1"/>
  <c r="O493"/>
  <c r="L143"/>
  <c r="O226"/>
  <c r="N325"/>
  <c r="L383"/>
  <c r="P284"/>
  <c r="Q284" s="1"/>
  <c r="L478"/>
  <c r="O390"/>
  <c r="L70"/>
  <c r="P396"/>
  <c r="Q396" s="1"/>
  <c r="P112"/>
  <c r="Q112" s="1"/>
  <c r="P363"/>
  <c r="Q363" s="1"/>
  <c r="O243"/>
  <c r="N181"/>
  <c r="N94"/>
  <c r="O258"/>
  <c r="N248"/>
  <c r="L444"/>
  <c r="L20"/>
  <c r="P287"/>
  <c r="Q287" s="1"/>
  <c r="P486"/>
  <c r="Q486" s="1"/>
  <c r="N421"/>
  <c r="L394"/>
  <c r="P379"/>
  <c r="Q379" s="1"/>
  <c r="P130"/>
  <c r="Q130" s="1"/>
  <c r="O332"/>
  <c r="L356"/>
  <c r="L152"/>
  <c r="P437"/>
  <c r="Q437" s="1"/>
  <c r="P73"/>
  <c r="Q73" s="1"/>
  <c r="N97"/>
  <c r="P328"/>
  <c r="Q328" s="1"/>
  <c r="P405"/>
  <c r="Q405" s="1"/>
  <c r="O143"/>
  <c r="N130"/>
  <c r="P189"/>
  <c r="Q189" s="1"/>
  <c r="N233"/>
  <c r="L208"/>
  <c r="P401"/>
  <c r="Q401" s="1"/>
  <c r="O496"/>
  <c r="P141"/>
  <c r="Q141" s="1"/>
  <c r="O369"/>
  <c r="L338"/>
  <c r="P362"/>
  <c r="Q362" s="1"/>
  <c r="P57"/>
  <c r="Q57" s="1"/>
  <c r="L21"/>
  <c r="P66"/>
  <c r="Q66" s="1"/>
  <c r="O312"/>
  <c r="P415"/>
  <c r="Q415" s="1"/>
  <c r="L482"/>
  <c r="P473"/>
  <c r="Q473" s="1"/>
  <c r="L398"/>
  <c r="L205"/>
  <c r="P503"/>
  <c r="Q503" s="1"/>
  <c r="P301"/>
  <c r="Q301" s="1"/>
  <c r="P311"/>
  <c r="Q311" s="1"/>
  <c r="P461"/>
  <c r="Q461" s="1"/>
  <c r="P213"/>
  <c r="Q213" s="1"/>
  <c r="P424"/>
  <c r="Q424" s="1"/>
  <c r="N133"/>
  <c r="P360"/>
  <c r="Q360" s="1"/>
  <c r="P448"/>
  <c r="Q448" s="1"/>
  <c r="O70"/>
  <c r="N282"/>
  <c r="O336"/>
  <c r="N64"/>
  <c r="P172"/>
  <c r="Q172" s="1"/>
  <c r="L269"/>
  <c r="L422"/>
  <c r="P109"/>
  <c r="Q109" s="1"/>
  <c r="P373"/>
  <c r="Q373" s="1"/>
  <c r="N196"/>
  <c r="N323"/>
  <c r="O41"/>
  <c r="P137"/>
  <c r="Q137" s="1"/>
  <c r="O217"/>
  <c r="N315"/>
  <c r="L295"/>
  <c r="O149"/>
  <c r="O463"/>
  <c r="L497"/>
  <c r="O360"/>
  <c r="L260"/>
  <c r="N237"/>
  <c r="O317"/>
  <c r="O87"/>
  <c r="L131"/>
  <c r="N267"/>
  <c r="P241"/>
  <c r="Q241" s="1"/>
  <c r="O124"/>
  <c r="O484"/>
  <c r="O470"/>
  <c r="P298"/>
  <c r="Q298" s="1"/>
  <c r="L211"/>
  <c r="O130"/>
  <c r="O114"/>
  <c r="P22"/>
  <c r="Q22" s="1"/>
  <c r="N374"/>
  <c r="P43"/>
  <c r="Q43" s="1"/>
  <c r="P240"/>
  <c r="Q240" s="1"/>
  <c r="O487"/>
  <c r="L341"/>
  <c r="P488"/>
  <c r="Q488" s="1"/>
  <c r="O244"/>
  <c r="L362"/>
  <c r="L490"/>
  <c r="N163"/>
  <c r="L89"/>
  <c r="L469"/>
  <c r="O57"/>
  <c r="P345"/>
  <c r="Q345" s="1"/>
  <c r="P365"/>
  <c r="Q365" s="1"/>
  <c r="N229"/>
  <c r="P327"/>
  <c r="Q327" s="1"/>
  <c r="O431"/>
  <c r="L122"/>
  <c r="N220"/>
  <c r="P502"/>
  <c r="Q502" s="1"/>
  <c r="O426"/>
  <c r="L509"/>
  <c r="L427"/>
  <c r="N462"/>
  <c r="P177"/>
  <c r="Q177" s="1"/>
  <c r="L486"/>
  <c r="P214"/>
  <c r="Q214" s="1"/>
  <c r="O10"/>
  <c r="P509"/>
  <c r="Q509" s="1"/>
  <c r="L179"/>
  <c r="P139"/>
  <c r="Q139" s="1"/>
  <c r="O264"/>
  <c r="P100"/>
  <c r="Q100" s="1"/>
  <c r="L465"/>
  <c r="P265"/>
  <c r="Q265" s="1"/>
  <c r="O202"/>
  <c r="L264"/>
  <c r="O382"/>
  <c r="L73"/>
  <c r="L176"/>
  <c r="O107"/>
  <c r="O125"/>
  <c r="N435"/>
  <c r="O300"/>
  <c r="L116"/>
  <c r="N201"/>
  <c r="O46"/>
  <c r="L71"/>
  <c r="P156"/>
  <c r="Q156" s="1"/>
  <c r="P513"/>
  <c r="Q513" s="1"/>
  <c r="O231"/>
  <c r="L322"/>
  <c r="O276"/>
  <c r="N385"/>
  <c r="P349"/>
  <c r="Q349" s="1"/>
  <c r="O185"/>
  <c r="N303"/>
  <c r="L423"/>
  <c r="P325"/>
  <c r="Q325" s="1"/>
  <c r="P374"/>
  <c r="Q374" s="1"/>
  <c r="P376"/>
  <c r="Q376" s="1"/>
  <c r="O367"/>
  <c r="N170"/>
  <c r="O338"/>
  <c r="O119"/>
  <c r="N397"/>
  <c r="N191"/>
  <c r="N512"/>
  <c r="L39"/>
  <c r="N276"/>
  <c r="N334"/>
  <c r="N211"/>
  <c r="P92"/>
  <c r="Q92" s="1"/>
  <c r="O207"/>
  <c r="L340"/>
  <c r="O395"/>
  <c r="O362"/>
  <c r="N460"/>
  <c r="L331"/>
  <c r="P119"/>
  <c r="Q119" s="1"/>
  <c r="P69"/>
  <c r="Q69" s="1"/>
  <c r="L355"/>
  <c r="O462"/>
  <c r="N272"/>
  <c r="P264"/>
  <c r="Q264" s="1"/>
  <c r="O308"/>
  <c r="O319"/>
  <c r="P351"/>
  <c r="Q351" s="1"/>
  <c r="O501"/>
  <c r="P54"/>
  <c r="Q54" s="1"/>
  <c r="L299"/>
  <c r="P337"/>
  <c r="Q337" s="1"/>
  <c r="P481"/>
  <c r="Q481" s="1"/>
  <c r="P395"/>
  <c r="Q395" s="1"/>
  <c r="N406"/>
  <c r="O329"/>
  <c r="L159"/>
  <c r="O509"/>
  <c r="P384"/>
  <c r="Q384" s="1"/>
  <c r="P111"/>
  <c r="Q111" s="1"/>
  <c r="N389"/>
  <c r="P17"/>
  <c r="Q17" s="1"/>
  <c r="L283"/>
  <c r="P436"/>
  <c r="Q436" s="1"/>
  <c r="P148"/>
  <c r="Q148" s="1"/>
  <c r="O163"/>
  <c r="L169"/>
  <c r="N461"/>
  <c r="N496"/>
  <c r="O16"/>
  <c r="P246"/>
  <c r="Q246" s="1"/>
  <c r="P319"/>
  <c r="Q319" s="1"/>
  <c r="L401"/>
  <c r="P323"/>
  <c r="Q323" s="1"/>
  <c r="L418"/>
  <c r="P431"/>
  <c r="Q431" s="1"/>
  <c r="O273"/>
  <c r="N410"/>
  <c r="N377"/>
  <c r="L44"/>
  <c r="O327"/>
  <c r="L185"/>
  <c r="P176"/>
  <c r="Q176" s="1"/>
  <c r="L506"/>
  <c r="L120"/>
  <c r="N273"/>
  <c r="N331"/>
  <c r="N66"/>
  <c r="L268"/>
  <c r="L161"/>
  <c r="L370"/>
  <c r="P151"/>
  <c r="Q151" s="1"/>
  <c r="L244"/>
  <c r="P129"/>
  <c r="Q129" s="1"/>
  <c r="O44"/>
  <c r="N234"/>
  <c r="N155"/>
  <c r="L416"/>
  <c r="L11"/>
  <c r="L133"/>
  <c r="N310"/>
  <c r="L137"/>
  <c r="N448"/>
  <c r="O245"/>
  <c r="N508"/>
  <c r="O183"/>
  <c r="N322"/>
  <c r="N168"/>
  <c r="L382"/>
  <c r="O144"/>
  <c r="N390"/>
  <c r="N45"/>
  <c r="P80"/>
  <c r="Q80" s="1"/>
  <c r="P12"/>
  <c r="Q12" s="1"/>
  <c r="P266"/>
  <c r="Q266" s="1"/>
  <c r="O158"/>
  <c r="O246"/>
  <c r="O374"/>
  <c r="N68"/>
  <c r="N265"/>
  <c r="O417"/>
  <c r="L390"/>
  <c r="P283"/>
  <c r="Q283" s="1"/>
  <c r="P18"/>
  <c r="Q18" s="1"/>
  <c r="P180"/>
  <c r="Q180" s="1"/>
  <c r="P472"/>
  <c r="Q472" s="1"/>
  <c r="L440"/>
  <c r="P149"/>
  <c r="Q149" s="1"/>
  <c r="L194"/>
  <c r="O136"/>
  <c r="L365"/>
  <c r="P145"/>
  <c r="Q145" s="1"/>
  <c r="O473"/>
  <c r="L65"/>
  <c r="O322"/>
  <c r="O233"/>
  <c r="P413"/>
  <c r="Q413" s="1"/>
  <c r="P435"/>
  <c r="Q435" s="1"/>
  <c r="O22"/>
  <c r="O267"/>
  <c r="N198"/>
  <c r="L425"/>
  <c r="L405"/>
  <c r="O391"/>
  <c r="O321"/>
  <c r="N215"/>
  <c r="L282"/>
  <c r="N311"/>
  <c r="O230"/>
  <c r="L146"/>
  <c r="O123"/>
  <c r="N69"/>
  <c r="O161"/>
  <c r="O510"/>
  <c r="P297"/>
  <c r="Q297" s="1"/>
  <c r="L92"/>
  <c r="O113"/>
  <c r="N509"/>
  <c r="O252"/>
  <c r="O498"/>
  <c r="O42"/>
  <c r="N302"/>
  <c r="N393"/>
  <c r="N354"/>
  <c r="O413"/>
  <c r="L379"/>
  <c r="O375"/>
  <c r="P216"/>
  <c r="Q216" s="1"/>
  <c r="L289"/>
  <c r="L234"/>
  <c r="P370"/>
  <c r="Q370" s="1"/>
  <c r="L238"/>
  <c r="N134"/>
  <c r="O380"/>
  <c r="O471"/>
  <c r="P114"/>
  <c r="Q114" s="1"/>
  <c r="L459"/>
  <c r="L467"/>
  <c r="O305"/>
  <c r="O261"/>
  <c r="L18"/>
  <c r="L189"/>
  <c r="L93"/>
  <c r="P108"/>
  <c r="Q108" s="1"/>
  <c r="L240"/>
  <c r="O59"/>
  <c r="L141"/>
  <c r="P13"/>
  <c r="Q13" s="1"/>
  <c r="O26"/>
  <c r="O352"/>
  <c r="P75"/>
  <c r="Q75" s="1"/>
  <c r="N432"/>
  <c r="O363"/>
  <c r="L424"/>
  <c r="L349"/>
  <c r="O219"/>
  <c r="O324"/>
  <c r="L10"/>
  <c r="P489"/>
  <c r="Q489" s="1"/>
  <c r="N431"/>
  <c r="O112"/>
  <c r="P386"/>
  <c r="Q386" s="1"/>
  <c r="N409"/>
  <c r="L402"/>
  <c r="N320"/>
  <c r="N445"/>
  <c r="P339"/>
  <c r="Q339" s="1"/>
  <c r="L367"/>
  <c r="L458"/>
  <c r="L196"/>
  <c r="N337"/>
  <c r="L492"/>
  <c r="L67"/>
  <c r="L253"/>
  <c r="N73"/>
  <c r="O326"/>
  <c r="O401"/>
  <c r="L439"/>
  <c r="N449"/>
  <c r="O254"/>
  <c r="O408"/>
  <c r="O287"/>
  <c r="P385"/>
  <c r="Q385" s="1"/>
  <c r="O499"/>
  <c r="N514"/>
  <c r="O175"/>
  <c r="O439"/>
  <c r="P312"/>
  <c r="Q312" s="1"/>
  <c r="N490"/>
  <c r="L198"/>
  <c r="N185"/>
  <c r="O96"/>
  <c r="L190"/>
  <c r="P190"/>
  <c r="Q190" s="1"/>
  <c r="L504"/>
  <c r="P497"/>
  <c r="Q497" s="1"/>
  <c r="L138"/>
  <c r="L221"/>
  <c r="P208"/>
  <c r="Q208" s="1"/>
  <c r="L493"/>
  <c r="O142"/>
  <c r="N83"/>
  <c r="N447"/>
  <c r="O480"/>
  <c r="N350"/>
  <c r="O361"/>
  <c r="L309"/>
  <c r="L300"/>
  <c r="P250"/>
  <c r="Q250" s="1"/>
  <c r="P305"/>
  <c r="Q305" s="1"/>
  <c r="L154"/>
  <c r="O179"/>
  <c r="N301"/>
  <c r="P453"/>
  <c r="Q453" s="1"/>
  <c r="P446"/>
  <c r="Q446" s="1"/>
  <c r="N307"/>
  <c r="O190"/>
  <c r="N226"/>
  <c r="O430"/>
  <c r="N128"/>
  <c r="O349"/>
  <c r="P447"/>
  <c r="Q447" s="1"/>
  <c r="N162"/>
  <c r="P252"/>
  <c r="Q252" s="1"/>
  <c r="O21"/>
  <c r="O271"/>
  <c r="P394"/>
  <c r="Q394" s="1"/>
  <c r="O365"/>
  <c r="N101"/>
  <c r="O189"/>
  <c r="P310"/>
  <c r="Q310" s="1"/>
  <c r="N359"/>
  <c r="P136"/>
  <c r="Q136" s="1"/>
  <c r="O89"/>
  <c r="L359"/>
  <c r="P234"/>
  <c r="Q234" s="1"/>
  <c r="N368"/>
  <c r="L430"/>
  <c r="O415"/>
  <c r="N468"/>
  <c r="O69"/>
  <c r="N366"/>
  <c r="N21"/>
  <c r="O384"/>
  <c r="P26"/>
  <c r="Q26" s="1"/>
  <c r="P147"/>
  <c r="Q147" s="1"/>
  <c r="P290"/>
  <c r="Q290" s="1"/>
  <c r="O494"/>
  <c r="N121"/>
  <c r="P410"/>
  <c r="Q410" s="1"/>
  <c r="O83"/>
  <c r="O304"/>
  <c r="N149"/>
  <c r="O341"/>
  <c r="L113"/>
  <c r="L251"/>
  <c r="P450"/>
  <c r="Q450" s="1"/>
  <c r="P107"/>
  <c r="Q107" s="1"/>
  <c r="L178"/>
  <c r="N309"/>
  <c r="N438"/>
  <c r="P173"/>
  <c r="Q173" s="1"/>
  <c r="O489"/>
  <c r="O156"/>
  <c r="L84"/>
  <c r="N262"/>
  <c r="N243"/>
  <c r="P493"/>
  <c r="Q493" s="1"/>
  <c r="N336"/>
  <c r="O98"/>
  <c r="P199"/>
  <c r="Q199" s="1"/>
  <c r="N343"/>
  <c r="P271"/>
  <c r="Q271" s="1"/>
  <c r="P135"/>
  <c r="Q135" s="1"/>
  <c r="N231"/>
  <c r="N104"/>
  <c r="O237"/>
  <c r="L305"/>
  <c r="L445"/>
  <c r="P433"/>
  <c r="Q433" s="1"/>
  <c r="O115"/>
  <c r="L488"/>
  <c r="L123"/>
  <c r="P294"/>
  <c r="Q294" s="1"/>
  <c r="O11"/>
  <c r="O281"/>
  <c r="N240"/>
  <c r="N18"/>
  <c r="L90"/>
  <c r="L462"/>
  <c r="N199"/>
  <c r="P350"/>
  <c r="Q350" s="1"/>
  <c r="L454"/>
  <c r="P494"/>
  <c r="Q494" s="1"/>
  <c r="P277"/>
  <c r="Q277" s="1"/>
  <c r="P313"/>
  <c r="Q313" s="1"/>
  <c r="P227"/>
  <c r="Q227" s="1"/>
  <c r="P202"/>
  <c r="Q202" s="1"/>
  <c r="N65"/>
  <c r="P105"/>
  <c r="Q105" s="1"/>
  <c r="P511"/>
  <c r="Q511" s="1"/>
  <c r="P166"/>
  <c r="Q166" s="1"/>
  <c r="L494"/>
  <c r="P11"/>
  <c r="Q11" s="1"/>
  <c r="L410"/>
  <c r="O389"/>
  <c r="O482"/>
  <c r="N486"/>
  <c r="P475"/>
  <c r="Q475" s="1"/>
  <c r="N506"/>
  <c r="L363"/>
  <c r="O225"/>
  <c r="L225"/>
  <c r="N138"/>
  <c r="L85"/>
  <c r="N355"/>
  <c r="P174"/>
  <c r="Q174" s="1"/>
  <c r="P93"/>
  <c r="Q93" s="1"/>
  <c r="P221"/>
  <c r="Q221" s="1"/>
  <c r="L83"/>
  <c r="L324"/>
  <c r="P125"/>
  <c r="Q125" s="1"/>
  <c r="P451"/>
  <c r="Q451" s="1"/>
  <c r="N95"/>
  <c r="P248"/>
  <c r="Q248" s="1"/>
  <c r="O512"/>
  <c r="L214"/>
  <c r="O345"/>
  <c r="O247"/>
  <c r="P356"/>
  <c r="Q356" s="1"/>
  <c r="N39"/>
  <c r="L332"/>
  <c r="L328"/>
  <c r="O467"/>
  <c r="N428"/>
  <c r="L298"/>
  <c r="L361"/>
  <c r="O466"/>
  <c r="O45"/>
  <c r="L369"/>
  <c r="O488"/>
  <c r="L293"/>
  <c r="L226"/>
  <c r="P371"/>
  <c r="Q371" s="1"/>
  <c r="P278"/>
  <c r="Q278" s="1"/>
  <c r="O422"/>
  <c r="P123"/>
  <c r="Q123" s="1"/>
  <c r="P142"/>
  <c r="Q142" s="1"/>
  <c r="O192"/>
  <c r="L210"/>
  <c r="P220"/>
  <c r="Q220" s="1"/>
  <c r="N327"/>
  <c r="P419"/>
  <c r="Q419" s="1"/>
  <c r="L421"/>
  <c r="O171"/>
  <c r="L252"/>
  <c r="P255"/>
  <c r="Q255" s="1"/>
  <c r="P418"/>
  <c r="Q418" s="1"/>
  <c r="N250"/>
  <c r="O372"/>
  <c r="N16"/>
  <c r="O262"/>
  <c r="L466"/>
  <c r="P251"/>
  <c r="Q251" s="1"/>
  <c r="L45"/>
  <c r="L125"/>
  <c r="N71"/>
  <c r="O218"/>
  <c r="L162"/>
  <c r="P426"/>
  <c r="Q426" s="1"/>
  <c r="P274"/>
  <c r="Q274" s="1"/>
  <c r="O239"/>
  <c r="L166"/>
  <c r="N498"/>
  <c r="O316"/>
  <c r="L389"/>
  <c r="O255"/>
  <c r="O359"/>
  <c r="L391"/>
  <c r="L266"/>
  <c r="O343"/>
  <c r="L241"/>
  <c r="L334"/>
  <c r="O356"/>
  <c r="O381"/>
  <c r="P282"/>
  <c r="Q282" s="1"/>
  <c r="O347"/>
  <c r="P217"/>
  <c r="Q217" s="1"/>
  <c r="O454"/>
  <c r="P154"/>
  <c r="Q154" s="1"/>
  <c r="L312"/>
  <c r="O134"/>
  <c r="N206"/>
  <c r="N440"/>
  <c r="O169"/>
  <c r="L447"/>
  <c r="L350"/>
  <c r="P442"/>
  <c r="Q442" s="1"/>
  <c r="L500"/>
  <c r="O198"/>
  <c r="P455"/>
  <c r="Q455" s="1"/>
  <c r="N135"/>
  <c r="N122"/>
  <c r="L496"/>
  <c r="N159"/>
  <c r="O437"/>
  <c r="P184"/>
  <c r="Q184" s="1"/>
  <c r="O339"/>
  <c r="L53"/>
  <c r="N453"/>
  <c r="O451"/>
  <c r="L296"/>
  <c r="N40"/>
  <c r="O355"/>
  <c r="N288"/>
  <c r="N427"/>
  <c r="N422"/>
  <c r="P183"/>
  <c r="Q183" s="1"/>
  <c r="N429"/>
  <c r="N466"/>
  <c r="N146"/>
  <c r="O256"/>
  <c r="N362"/>
  <c r="P159"/>
  <c r="Q159" s="1"/>
  <c r="O241"/>
  <c r="O265"/>
  <c r="P104"/>
  <c r="Q104" s="1"/>
  <c r="O398"/>
  <c r="O419"/>
  <c r="L376"/>
  <c r="P279"/>
  <c r="Q279" s="1"/>
  <c r="O503"/>
  <c r="N115"/>
  <c r="N249"/>
  <c r="O105"/>
  <c r="N426"/>
  <c r="L510"/>
  <c r="O212"/>
  <c r="O248"/>
  <c r="O485"/>
  <c r="O214"/>
  <c r="P84"/>
  <c r="Q84" s="1"/>
  <c r="L277"/>
  <c r="P452"/>
  <c r="Q452" s="1"/>
  <c r="L248"/>
  <c r="N335"/>
  <c r="P300"/>
  <c r="Q300" s="1"/>
  <c r="O102"/>
  <c r="L393"/>
  <c r="L366"/>
  <c r="N15"/>
  <c r="N176"/>
  <c r="L247"/>
  <c r="L232"/>
  <c r="O188"/>
  <c r="L54"/>
  <c r="P162"/>
  <c r="Q162" s="1"/>
  <c r="O477"/>
  <c r="O259"/>
  <c r="O193"/>
  <c r="L484"/>
  <c r="P316"/>
  <c r="Q316" s="1"/>
  <c r="O135"/>
  <c r="L507"/>
  <c r="L41"/>
  <c r="O397"/>
  <c r="L80"/>
  <c r="N80"/>
  <c r="L432"/>
  <c r="P429"/>
  <c r="Q429" s="1"/>
  <c r="L115"/>
  <c r="L477"/>
  <c r="O229"/>
  <c r="P309"/>
  <c r="Q309" s="1"/>
  <c r="L395"/>
  <c r="P483"/>
  <c r="Q483" s="1"/>
  <c r="N38"/>
  <c r="O250"/>
  <c r="L102"/>
  <c r="P432"/>
  <c r="Q432" s="1"/>
  <c r="P304"/>
  <c r="Q304" s="1"/>
  <c r="O476"/>
  <c r="O506"/>
  <c r="O194"/>
  <c r="N145"/>
  <c r="P102"/>
  <c r="Q102" s="1"/>
  <c r="O91"/>
  <c r="O253"/>
  <c r="O73"/>
  <c r="O457"/>
  <c r="O379"/>
  <c r="L318"/>
  <c r="O293"/>
  <c r="N360"/>
  <c r="O141"/>
  <c r="N305"/>
  <c r="N90"/>
  <c r="O209"/>
  <c r="P133"/>
  <c r="Q133" s="1"/>
  <c r="N13"/>
  <c r="O433"/>
  <c r="N70"/>
  <c r="N22"/>
  <c r="D532"/>
  <c r="D533"/>
  <c r="D535"/>
  <c r="D549"/>
  <c r="D557"/>
  <c r="D572"/>
  <c r="D573"/>
  <c r="D579"/>
  <c r="D580"/>
  <c r="D581"/>
  <c r="D588"/>
  <c r="D604"/>
  <c r="D605"/>
  <c r="D527"/>
  <c r="D548"/>
  <c r="D559"/>
  <c r="D567"/>
  <c r="D519"/>
  <c r="D565"/>
  <c r="D575"/>
  <c r="D589"/>
  <c r="D597"/>
  <c r="D606"/>
  <c r="D517"/>
  <c r="D541"/>
  <c r="N515"/>
  <c r="O515"/>
  <c r="P515"/>
  <c r="Q515" s="1"/>
  <c r="R515"/>
  <c r="N516"/>
  <c r="O516"/>
  <c r="P516"/>
  <c r="Q516" s="1"/>
  <c r="R516"/>
  <c r="N517"/>
  <c r="O517"/>
  <c r="P517"/>
  <c r="Q517" s="1"/>
  <c r="R517"/>
  <c r="N518"/>
  <c r="O518"/>
  <c r="P518"/>
  <c r="Q518" s="1"/>
  <c r="R518"/>
  <c r="N519"/>
  <c r="O519"/>
  <c r="P519"/>
  <c r="Q519" s="1"/>
  <c r="R519"/>
  <c r="N520"/>
  <c r="O520"/>
  <c r="P520"/>
  <c r="Q520" s="1"/>
  <c r="R520"/>
  <c r="N521"/>
  <c r="O521"/>
  <c r="P521"/>
  <c r="Q521" s="1"/>
  <c r="R521"/>
  <c r="N522"/>
  <c r="O522"/>
  <c r="P522"/>
  <c r="Q522" s="1"/>
  <c r="R522"/>
  <c r="N523"/>
  <c r="O523"/>
  <c r="P523"/>
  <c r="Q523" s="1"/>
  <c r="R523"/>
  <c r="N524"/>
  <c r="O524"/>
  <c r="P524"/>
  <c r="Q524" s="1"/>
  <c r="R524"/>
  <c r="N525"/>
  <c r="O525"/>
  <c r="P525"/>
  <c r="Q525" s="1"/>
  <c r="R525"/>
  <c r="N526"/>
  <c r="O526"/>
  <c r="P526"/>
  <c r="Q526" s="1"/>
  <c r="R526"/>
  <c r="N527"/>
  <c r="O527"/>
  <c r="P527"/>
  <c r="Q527" s="1"/>
  <c r="R527"/>
  <c r="N528"/>
  <c r="O528"/>
  <c r="P528"/>
  <c r="Q528" s="1"/>
  <c r="R528"/>
  <c r="N529"/>
  <c r="O529"/>
  <c r="P529"/>
  <c r="Q529" s="1"/>
  <c r="R529"/>
  <c r="N530"/>
  <c r="O530"/>
  <c r="P530"/>
  <c r="Q530" s="1"/>
  <c r="R530"/>
  <c r="N531"/>
  <c r="O531"/>
  <c r="P531"/>
  <c r="Q531" s="1"/>
  <c r="R531"/>
  <c r="N532"/>
  <c r="O532"/>
  <c r="P532"/>
  <c r="Q532" s="1"/>
  <c r="R532"/>
  <c r="N533"/>
  <c r="O533"/>
  <c r="P533"/>
  <c r="Q533" s="1"/>
  <c r="R533"/>
  <c r="N534"/>
  <c r="O534"/>
  <c r="P534"/>
  <c r="Q534" s="1"/>
  <c r="R534"/>
  <c r="N535"/>
  <c r="O535"/>
  <c r="P535"/>
  <c r="Q535" s="1"/>
  <c r="R535"/>
  <c r="N536"/>
  <c r="O536"/>
  <c r="P536"/>
  <c r="Q536" s="1"/>
  <c r="R536"/>
  <c r="N537"/>
  <c r="O537"/>
  <c r="P537"/>
  <c r="Q537" s="1"/>
  <c r="R537"/>
  <c r="N538"/>
  <c r="O538"/>
  <c r="P538"/>
  <c r="Q538" s="1"/>
  <c r="R538"/>
  <c r="N539"/>
  <c r="O539"/>
  <c r="P539"/>
  <c r="Q539" s="1"/>
  <c r="R539"/>
  <c r="N540"/>
  <c r="O540"/>
  <c r="P540"/>
  <c r="Q540" s="1"/>
  <c r="R540"/>
  <c r="N541"/>
  <c r="O541"/>
  <c r="P541"/>
  <c r="Q541" s="1"/>
  <c r="R541"/>
  <c r="N542"/>
  <c r="O542"/>
  <c r="P542"/>
  <c r="Q542" s="1"/>
  <c r="R542"/>
  <c r="N543"/>
  <c r="O543"/>
  <c r="P543"/>
  <c r="Q543" s="1"/>
  <c r="R543"/>
  <c r="N544"/>
  <c r="O544"/>
  <c r="P544"/>
  <c r="Q544" s="1"/>
  <c r="R544"/>
  <c r="N545"/>
  <c r="O545"/>
  <c r="P545"/>
  <c r="Q545" s="1"/>
  <c r="R545"/>
  <c r="N546"/>
  <c r="O546"/>
  <c r="P546"/>
  <c r="Q546" s="1"/>
  <c r="R546"/>
  <c r="N547"/>
  <c r="O547"/>
  <c r="P547"/>
  <c r="Q547" s="1"/>
  <c r="R547"/>
  <c r="N548"/>
  <c r="O548"/>
  <c r="P548"/>
  <c r="Q548" s="1"/>
  <c r="R548"/>
  <c r="N549"/>
  <c r="O549"/>
  <c r="P549"/>
  <c r="Q549" s="1"/>
  <c r="R549"/>
  <c r="N550"/>
  <c r="O550"/>
  <c r="P550"/>
  <c r="Q550" s="1"/>
  <c r="R550"/>
  <c r="N551"/>
  <c r="O551"/>
  <c r="P551"/>
  <c r="Q551" s="1"/>
  <c r="R551"/>
  <c r="N552"/>
  <c r="O552"/>
  <c r="P552"/>
  <c r="Q552" s="1"/>
  <c r="R552"/>
  <c r="N553"/>
  <c r="O553"/>
  <c r="P553"/>
  <c r="Q553" s="1"/>
  <c r="R553"/>
  <c r="N554"/>
  <c r="O554"/>
  <c r="P554"/>
  <c r="Q554" s="1"/>
  <c r="R554"/>
  <c r="N555"/>
  <c r="O555"/>
  <c r="P555"/>
  <c r="Q555" s="1"/>
  <c r="R555"/>
  <c r="N556"/>
  <c r="O556"/>
  <c r="P556"/>
  <c r="Q556" s="1"/>
  <c r="R556"/>
  <c r="N557"/>
  <c r="O557"/>
  <c r="P557"/>
  <c r="Q557" s="1"/>
  <c r="R557"/>
  <c r="N558"/>
  <c r="O558"/>
  <c r="P558"/>
  <c r="Q558" s="1"/>
  <c r="R558"/>
  <c r="N559"/>
  <c r="O559"/>
  <c r="P559"/>
  <c r="Q559" s="1"/>
  <c r="R559"/>
  <c r="N560"/>
  <c r="O560"/>
  <c r="P560"/>
  <c r="Q560" s="1"/>
  <c r="R560"/>
  <c r="N561"/>
  <c r="O561"/>
  <c r="P561"/>
  <c r="Q561" s="1"/>
  <c r="R561"/>
  <c r="N562"/>
  <c r="O562"/>
  <c r="P562"/>
  <c r="Q562" s="1"/>
  <c r="R562"/>
  <c r="N563"/>
  <c r="O563"/>
  <c r="P563"/>
  <c r="Q563" s="1"/>
  <c r="R563"/>
  <c r="N564"/>
  <c r="O564"/>
  <c r="P564"/>
  <c r="Q564" s="1"/>
  <c r="R564"/>
  <c r="N565"/>
  <c r="O565"/>
  <c r="P565"/>
  <c r="Q565" s="1"/>
  <c r="R565"/>
  <c r="N566"/>
  <c r="O566"/>
  <c r="P566"/>
  <c r="Q566" s="1"/>
  <c r="R566"/>
  <c r="N567"/>
  <c r="O567"/>
  <c r="P567"/>
  <c r="Q567" s="1"/>
  <c r="R567"/>
  <c r="N568"/>
  <c r="O568"/>
  <c r="P568"/>
  <c r="Q568" s="1"/>
  <c r="R568"/>
  <c r="N569"/>
  <c r="O569"/>
  <c r="P569"/>
  <c r="Q569" s="1"/>
  <c r="R569"/>
  <c r="N570"/>
  <c r="O570"/>
  <c r="P570"/>
  <c r="Q570" s="1"/>
  <c r="R570"/>
  <c r="N571"/>
  <c r="O571"/>
  <c r="P571"/>
  <c r="Q571" s="1"/>
  <c r="R571"/>
  <c r="N572"/>
  <c r="O572"/>
  <c r="P572"/>
  <c r="Q572" s="1"/>
  <c r="R572"/>
  <c r="N573"/>
  <c r="O573"/>
  <c r="P573"/>
  <c r="Q573" s="1"/>
  <c r="R573"/>
  <c r="N574"/>
  <c r="O574"/>
  <c r="P574"/>
  <c r="Q574" s="1"/>
  <c r="R574"/>
  <c r="N575"/>
  <c r="O575"/>
  <c r="P575"/>
  <c r="Q575" s="1"/>
  <c r="R575"/>
  <c r="N576"/>
  <c r="O576"/>
  <c r="P576"/>
  <c r="Q576" s="1"/>
  <c r="R576"/>
  <c r="N577"/>
  <c r="O577"/>
  <c r="P577"/>
  <c r="Q577" s="1"/>
  <c r="R577"/>
  <c r="N578"/>
  <c r="O578"/>
  <c r="P578"/>
  <c r="Q578" s="1"/>
  <c r="R578"/>
  <c r="N579"/>
  <c r="O579"/>
  <c r="P579"/>
  <c r="Q579" s="1"/>
  <c r="R579"/>
  <c r="N580"/>
  <c r="O580"/>
  <c r="P580"/>
  <c r="Q580" s="1"/>
  <c r="R580"/>
  <c r="N581"/>
  <c r="O581"/>
  <c r="P581"/>
  <c r="Q581" s="1"/>
  <c r="R581"/>
  <c r="N582"/>
  <c r="O582"/>
  <c r="P582"/>
  <c r="Q582" s="1"/>
  <c r="R582"/>
  <c r="N583"/>
  <c r="O583"/>
  <c r="P583"/>
  <c r="Q583" s="1"/>
  <c r="R583"/>
  <c r="N584"/>
  <c r="O584"/>
  <c r="P584"/>
  <c r="Q584" s="1"/>
  <c r="R584"/>
  <c r="N585"/>
  <c r="O585"/>
  <c r="P585"/>
  <c r="Q585" s="1"/>
  <c r="R585"/>
  <c r="N586"/>
  <c r="O586"/>
  <c r="P586"/>
  <c r="Q586" s="1"/>
  <c r="R586"/>
  <c r="N587"/>
  <c r="O587"/>
  <c r="P587"/>
  <c r="Q587" s="1"/>
  <c r="R587"/>
  <c r="N588"/>
  <c r="O588"/>
  <c r="P588"/>
  <c r="Q588" s="1"/>
  <c r="R588"/>
  <c r="N589"/>
  <c r="O589"/>
  <c r="P589"/>
  <c r="Q589" s="1"/>
  <c r="R589"/>
  <c r="N590"/>
  <c r="O590"/>
  <c r="P590"/>
  <c r="Q590" s="1"/>
  <c r="R590"/>
  <c r="N591"/>
  <c r="O591"/>
  <c r="P591"/>
  <c r="Q591" s="1"/>
  <c r="R591"/>
  <c r="N592"/>
  <c r="O592"/>
  <c r="P592"/>
  <c r="Q592" s="1"/>
  <c r="R592"/>
  <c r="N593"/>
  <c r="O593"/>
  <c r="P593"/>
  <c r="Q593" s="1"/>
  <c r="R593"/>
  <c r="N594"/>
  <c r="O594"/>
  <c r="P594"/>
  <c r="Q594" s="1"/>
  <c r="R594"/>
  <c r="N595"/>
  <c r="O595"/>
  <c r="P595"/>
  <c r="Q595" s="1"/>
  <c r="R595"/>
  <c r="N596"/>
  <c r="O596"/>
  <c r="P596"/>
  <c r="Q596" s="1"/>
  <c r="R596"/>
  <c r="N597"/>
  <c r="O597"/>
  <c r="P597"/>
  <c r="Q597" s="1"/>
  <c r="R597"/>
  <c r="N598"/>
  <c r="O598"/>
  <c r="P598"/>
  <c r="Q598" s="1"/>
  <c r="R598"/>
  <c r="N599"/>
  <c r="O599"/>
  <c r="P599"/>
  <c r="Q599" s="1"/>
  <c r="R599"/>
  <c r="N600"/>
  <c r="O600"/>
  <c r="P600"/>
  <c r="Q600" s="1"/>
  <c r="R600"/>
  <c r="N601"/>
  <c r="O601"/>
  <c r="P601"/>
  <c r="Q601" s="1"/>
  <c r="R601"/>
  <c r="N602"/>
  <c r="O602"/>
  <c r="P602"/>
  <c r="Q602" s="1"/>
  <c r="R602"/>
  <c r="N603"/>
  <c r="O603"/>
  <c r="P603"/>
  <c r="Q603" s="1"/>
  <c r="R603"/>
  <c r="N604"/>
  <c r="O604"/>
  <c r="P604"/>
  <c r="Q604" s="1"/>
  <c r="R604"/>
  <c r="N605"/>
  <c r="O605"/>
  <c r="P605"/>
  <c r="Q605" s="1"/>
  <c r="R605"/>
  <c r="N606"/>
  <c r="O606"/>
  <c r="P606"/>
  <c r="Q606" s="1"/>
  <c r="R606"/>
  <c r="N607"/>
  <c r="O607"/>
  <c r="P607"/>
  <c r="Q607" s="1"/>
  <c r="R607"/>
  <c r="R514"/>
  <c r="R513"/>
  <c r="R512"/>
  <c r="R511"/>
  <c r="R510"/>
  <c r="R509"/>
  <c r="R508"/>
  <c r="R507"/>
  <c r="R506"/>
  <c r="R505"/>
  <c r="R504"/>
  <c r="R503"/>
  <c r="R502"/>
  <c r="R501"/>
  <c r="R500"/>
  <c r="R499"/>
  <c r="R498"/>
  <c r="R497"/>
  <c r="R496"/>
  <c r="R495"/>
  <c r="R494"/>
  <c r="R493"/>
  <c r="R492"/>
  <c r="R491"/>
  <c r="R490"/>
  <c r="R489"/>
  <c r="R488"/>
  <c r="R487"/>
  <c r="R486"/>
  <c r="R485"/>
  <c r="R484"/>
  <c r="R483"/>
  <c r="R482"/>
  <c r="R481"/>
  <c r="R480"/>
  <c r="R479"/>
  <c r="R478"/>
  <c r="R477"/>
  <c r="R476"/>
  <c r="R475"/>
  <c r="R474"/>
  <c r="R473"/>
  <c r="R472"/>
  <c r="R471"/>
  <c r="R470"/>
  <c r="R469"/>
  <c r="R468"/>
  <c r="R467"/>
  <c r="R466"/>
  <c r="R465"/>
  <c r="R464"/>
  <c r="R463"/>
  <c r="R462"/>
  <c r="R461"/>
  <c r="R460"/>
  <c r="R459"/>
  <c r="R458"/>
  <c r="R457"/>
  <c r="R456"/>
  <c r="R455"/>
  <c r="R454"/>
  <c r="R453"/>
  <c r="R452"/>
  <c r="R451"/>
  <c r="R450"/>
  <c r="R449"/>
  <c r="R448"/>
  <c r="R447"/>
  <c r="R446"/>
  <c r="R445"/>
  <c r="R444"/>
  <c r="R443"/>
  <c r="R442"/>
  <c r="R441"/>
  <c r="R440"/>
  <c r="R439"/>
  <c r="R438"/>
  <c r="R437"/>
  <c r="R436"/>
  <c r="R435"/>
  <c r="R434"/>
  <c r="R433"/>
  <c r="R432"/>
  <c r="R431"/>
  <c r="R430"/>
  <c r="R429"/>
  <c r="R428"/>
  <c r="R427"/>
  <c r="R426"/>
  <c r="R425"/>
  <c r="R424"/>
  <c r="R423"/>
  <c r="R422"/>
  <c r="R421"/>
  <c r="R420"/>
  <c r="R419"/>
  <c r="R418"/>
  <c r="R417"/>
  <c r="R416"/>
  <c r="R415"/>
  <c r="R414"/>
  <c r="R413"/>
  <c r="R412"/>
  <c r="R411"/>
  <c r="R410"/>
  <c r="R409"/>
  <c r="R408"/>
  <c r="R407"/>
  <c r="R406"/>
  <c r="R405"/>
  <c r="R404"/>
  <c r="R403"/>
  <c r="R402"/>
  <c r="R401"/>
  <c r="R400"/>
  <c r="R399"/>
  <c r="R398"/>
  <c r="R397"/>
  <c r="R396"/>
  <c r="R395"/>
  <c r="R394"/>
  <c r="R393"/>
  <c r="R392"/>
  <c r="R391"/>
  <c r="R390"/>
  <c r="R389"/>
  <c r="R388"/>
  <c r="R387"/>
  <c r="R386"/>
  <c r="R385"/>
  <c r="R384"/>
  <c r="R383"/>
  <c r="R382"/>
  <c r="R381"/>
  <c r="R380"/>
  <c r="R379"/>
  <c r="R378"/>
  <c r="R377"/>
  <c r="R376"/>
  <c r="R375"/>
  <c r="R374"/>
  <c r="R373"/>
  <c r="R372"/>
  <c r="R371"/>
  <c r="R370"/>
  <c r="R369"/>
  <c r="R368"/>
  <c r="R367"/>
  <c r="R366"/>
  <c r="R365"/>
  <c r="R364"/>
  <c r="R363"/>
  <c r="R362"/>
  <c r="R361"/>
  <c r="R360"/>
  <c r="R359"/>
  <c r="R358"/>
  <c r="R357"/>
  <c r="R356"/>
  <c r="R355"/>
  <c r="R354"/>
  <c r="R353"/>
  <c r="R352"/>
  <c r="R351"/>
  <c r="R350"/>
  <c r="R349"/>
  <c r="R348"/>
  <c r="R347"/>
  <c r="R346"/>
  <c r="R345"/>
  <c r="R344"/>
  <c r="R343"/>
  <c r="R342"/>
  <c r="R341"/>
  <c r="R340"/>
  <c r="R339"/>
  <c r="R338"/>
  <c r="R337"/>
  <c r="R336"/>
  <c r="R335"/>
  <c r="R334"/>
  <c r="R333"/>
  <c r="R332"/>
  <c r="R331"/>
  <c r="R330"/>
  <c r="R329"/>
  <c r="R328"/>
  <c r="R327"/>
  <c r="R326"/>
  <c r="R325"/>
  <c r="R324"/>
  <c r="R323"/>
  <c r="R322"/>
  <c r="R321"/>
  <c r="R320"/>
  <c r="R319"/>
  <c r="R318"/>
  <c r="R317"/>
  <c r="R316"/>
  <c r="R315"/>
  <c r="R314"/>
  <c r="R313"/>
  <c r="R312"/>
  <c r="R311"/>
  <c r="R310"/>
  <c r="R309"/>
  <c r="R308"/>
  <c r="R307"/>
  <c r="R306"/>
  <c r="R305"/>
  <c r="R304"/>
  <c r="R303"/>
  <c r="R302"/>
  <c r="R301"/>
  <c r="R300"/>
  <c r="R299"/>
  <c r="R298"/>
  <c r="R297"/>
  <c r="R296"/>
  <c r="R295"/>
  <c r="R294"/>
  <c r="R293"/>
  <c r="R292"/>
  <c r="R291"/>
  <c r="R290"/>
  <c r="R289"/>
  <c r="R288"/>
  <c r="R287"/>
  <c r="R286"/>
  <c r="R285"/>
  <c r="R284"/>
  <c r="R283"/>
  <c r="R282"/>
  <c r="R281"/>
  <c r="R280"/>
  <c r="R279"/>
  <c r="R278"/>
  <c r="R277"/>
  <c r="R276"/>
  <c r="R275"/>
  <c r="R274"/>
  <c r="R273"/>
  <c r="R272"/>
  <c r="R271"/>
  <c r="R270"/>
  <c r="R269"/>
  <c r="R268"/>
  <c r="R267"/>
  <c r="R266"/>
  <c r="R265"/>
  <c r="R264"/>
  <c r="R263"/>
  <c r="R262"/>
  <c r="R261"/>
  <c r="R260"/>
  <c r="R259"/>
  <c r="R258"/>
  <c r="R257"/>
  <c r="R256"/>
  <c r="R255"/>
  <c r="R254"/>
  <c r="R253"/>
  <c r="R252"/>
  <c r="R251"/>
  <c r="R250"/>
  <c r="R249"/>
  <c r="R248"/>
  <c r="R247"/>
  <c r="R246"/>
  <c r="R245"/>
  <c r="R244"/>
  <c r="R243"/>
  <c r="R242"/>
  <c r="R241"/>
  <c r="R240"/>
  <c r="R239"/>
  <c r="R238"/>
  <c r="R237"/>
  <c r="R236"/>
  <c r="R235"/>
  <c r="R234"/>
  <c r="R233"/>
  <c r="R232"/>
  <c r="R231"/>
  <c r="R230"/>
  <c r="R229"/>
  <c r="R228"/>
  <c r="R227"/>
  <c r="R226"/>
  <c r="R225"/>
  <c r="R224"/>
  <c r="R223"/>
  <c r="R222"/>
  <c r="R221"/>
  <c r="R220"/>
  <c r="R219"/>
  <c r="R218"/>
  <c r="R217"/>
  <c r="R216"/>
  <c r="R215"/>
  <c r="R214"/>
  <c r="R213"/>
  <c r="R212"/>
  <c r="R211"/>
  <c r="R210"/>
  <c r="R209"/>
  <c r="R208"/>
  <c r="R207"/>
  <c r="R206"/>
  <c r="R205"/>
  <c r="R204"/>
  <c r="R203"/>
  <c r="R202"/>
  <c r="R201"/>
  <c r="R200"/>
  <c r="R199"/>
  <c r="R198"/>
  <c r="R197"/>
  <c r="R196"/>
  <c r="R195"/>
  <c r="R194"/>
  <c r="R193"/>
  <c r="R192"/>
  <c r="R191"/>
  <c r="R190"/>
  <c r="R189"/>
  <c r="R188"/>
  <c r="R187"/>
  <c r="R186"/>
  <c r="R185"/>
  <c r="R184"/>
  <c r="R183"/>
  <c r="R182"/>
  <c r="R181"/>
  <c r="R180"/>
  <c r="R179"/>
  <c r="R178"/>
  <c r="R177"/>
  <c r="R176"/>
  <c r="R175"/>
  <c r="R174"/>
  <c r="R173"/>
  <c r="R172"/>
  <c r="R171"/>
  <c r="R170"/>
  <c r="R169"/>
  <c r="R168"/>
  <c r="R167"/>
  <c r="R166"/>
  <c r="R165"/>
  <c r="R164"/>
  <c r="R163"/>
  <c r="R162"/>
  <c r="R161"/>
  <c r="R160"/>
  <c r="R159"/>
  <c r="R158"/>
  <c r="R157"/>
  <c r="R156"/>
  <c r="R155"/>
  <c r="R154"/>
  <c r="R153"/>
  <c r="R152"/>
  <c r="R151"/>
  <c r="R150"/>
  <c r="R149"/>
  <c r="R148"/>
  <c r="R147"/>
  <c r="R146"/>
  <c r="R145"/>
  <c r="R144"/>
  <c r="R143"/>
  <c r="R142"/>
  <c r="R141"/>
  <c r="R140"/>
  <c r="R139"/>
  <c r="R138"/>
  <c r="R137"/>
  <c r="R136"/>
  <c r="R135"/>
  <c r="R134"/>
  <c r="R133"/>
  <c r="R132"/>
  <c r="R131"/>
  <c r="R130"/>
  <c r="R129"/>
  <c r="R128"/>
  <c r="R127"/>
  <c r="R126"/>
  <c r="R125"/>
  <c r="R124"/>
  <c r="R123"/>
  <c r="R122"/>
  <c r="R121"/>
  <c r="R120"/>
  <c r="R119"/>
  <c r="R118"/>
  <c r="R117"/>
  <c r="R116"/>
  <c r="R115"/>
  <c r="R114"/>
  <c r="R113"/>
  <c r="R112"/>
  <c r="R111"/>
  <c r="R110"/>
  <c r="R109"/>
  <c r="R108"/>
  <c r="R107"/>
  <c r="R106"/>
  <c r="R105"/>
  <c r="R104"/>
  <c r="R103"/>
  <c r="R102"/>
  <c r="R101"/>
  <c r="R100"/>
  <c r="R99"/>
  <c r="R98"/>
  <c r="R97"/>
  <c r="R96"/>
  <c r="R95"/>
  <c r="R94"/>
  <c r="R93"/>
  <c r="R92"/>
  <c r="R91"/>
  <c r="R90"/>
  <c r="R89"/>
  <c r="R88"/>
  <c r="R87"/>
  <c r="R86"/>
  <c r="R85"/>
  <c r="R84"/>
  <c r="R83"/>
  <c r="R82"/>
  <c r="R81"/>
  <c r="R80"/>
  <c r="R79"/>
  <c r="R78"/>
  <c r="R77"/>
  <c r="R76"/>
  <c r="R75"/>
  <c r="R74"/>
  <c r="R73"/>
  <c r="R72"/>
  <c r="R71"/>
  <c r="R70"/>
  <c r="R69"/>
  <c r="R68"/>
  <c r="R67"/>
  <c r="R66"/>
  <c r="R65"/>
  <c r="R64"/>
  <c r="R63"/>
  <c r="R62"/>
  <c r="R61"/>
  <c r="R60"/>
  <c r="R59"/>
  <c r="R58"/>
  <c r="R57"/>
  <c r="R56"/>
  <c r="R55"/>
  <c r="R54"/>
  <c r="R53"/>
  <c r="R52"/>
  <c r="R51"/>
  <c r="R50"/>
  <c r="R49"/>
  <c r="R48"/>
  <c r="R47"/>
  <c r="R46"/>
  <c r="R45"/>
  <c r="R44"/>
  <c r="R43"/>
  <c r="R42"/>
  <c r="R41"/>
  <c r="R40"/>
  <c r="R39"/>
  <c r="R38"/>
  <c r="R37"/>
  <c r="R36"/>
  <c r="R35"/>
  <c r="R34"/>
  <c r="R33"/>
  <c r="R32"/>
  <c r="R31"/>
  <c r="R30"/>
  <c r="R29"/>
  <c r="R28"/>
  <c r="R27"/>
  <c r="R26"/>
  <c r="R25"/>
  <c r="R24"/>
  <c r="R23"/>
  <c r="R22"/>
  <c r="R21"/>
  <c r="R20"/>
  <c r="R19"/>
  <c r="R18"/>
  <c r="R17"/>
  <c r="R16"/>
  <c r="R15"/>
  <c r="R14"/>
  <c r="R13"/>
  <c r="R12"/>
  <c r="R11"/>
  <c r="R10"/>
  <c r="R9"/>
  <c r="R8"/>
  <c r="R7"/>
  <c r="R6"/>
  <c r="R5"/>
  <c r="R4"/>
  <c r="R3"/>
  <c r="R2"/>
  <c r="P3"/>
  <c r="Q3" s="1"/>
  <c r="P4"/>
  <c r="Q4" s="1"/>
  <c r="P5"/>
  <c r="Q5" s="1"/>
  <c r="P6"/>
  <c r="Q6" s="1"/>
  <c r="P7"/>
  <c r="Q7" s="1"/>
  <c r="P8"/>
  <c r="Q8" s="1"/>
  <c r="P9"/>
  <c r="Q9" s="1"/>
  <c r="P10"/>
  <c r="Q10" s="1"/>
  <c r="P15"/>
  <c r="Q15" s="1"/>
  <c r="P20"/>
  <c r="Q20" s="1"/>
  <c r="P21"/>
  <c r="Q21" s="1"/>
  <c r="P23"/>
  <c r="Q23" s="1"/>
  <c r="P24"/>
  <c r="Q24" s="1"/>
  <c r="P28"/>
  <c r="Q28" s="1"/>
  <c r="P29"/>
  <c r="Q29" s="1"/>
  <c r="P30"/>
  <c r="Q30" s="1"/>
  <c r="P31"/>
  <c r="Q31" s="1"/>
  <c r="P32"/>
  <c r="Q32" s="1"/>
  <c r="P33"/>
  <c r="Q33" s="1"/>
  <c r="P34"/>
  <c r="Q34" s="1"/>
  <c r="P35"/>
  <c r="Q35" s="1"/>
  <c r="P36"/>
  <c r="Q36" s="1"/>
  <c r="P37"/>
  <c r="Q37" s="1"/>
  <c r="P38"/>
  <c r="Q38" s="1"/>
  <c r="P42"/>
  <c r="Q42" s="1"/>
  <c r="P44"/>
  <c r="Q44" s="1"/>
  <c r="P45"/>
  <c r="Q45" s="1"/>
  <c r="P48"/>
  <c r="Q48" s="1"/>
  <c r="P49"/>
  <c r="Q49" s="1"/>
  <c r="P55"/>
  <c r="Q55" s="1"/>
  <c r="P58"/>
  <c r="Q58" s="1"/>
  <c r="P61"/>
  <c r="Q61" s="1"/>
  <c r="P62"/>
  <c r="Q62" s="1"/>
  <c r="P63"/>
  <c r="Q63" s="1"/>
  <c r="P64"/>
  <c r="Q64" s="1"/>
  <c r="P74"/>
  <c r="Q74" s="1"/>
  <c r="P76"/>
  <c r="Q76" s="1"/>
  <c r="P77"/>
  <c r="Q77" s="1"/>
  <c r="P78"/>
  <c r="Q78" s="1"/>
  <c r="P81"/>
  <c r="Q81" s="1"/>
  <c r="P82"/>
  <c r="Q82" s="1"/>
  <c r="P85"/>
  <c r="Q85" s="1"/>
  <c r="P87"/>
  <c r="Q87" s="1"/>
  <c r="P88"/>
  <c r="Q88" s="1"/>
  <c r="P98"/>
  <c r="Q98" s="1"/>
  <c r="P101"/>
  <c r="Q101" s="1"/>
  <c r="P120"/>
  <c r="Q120" s="1"/>
  <c r="P122"/>
  <c r="Q122" s="1"/>
  <c r="P131"/>
  <c r="Q131" s="1"/>
  <c r="P132"/>
  <c r="Q132" s="1"/>
  <c r="P134"/>
  <c r="Q134" s="1"/>
  <c r="P140"/>
  <c r="Q140" s="1"/>
  <c r="P146"/>
  <c r="Q146" s="1"/>
  <c r="P160"/>
  <c r="Q160" s="1"/>
  <c r="P170"/>
  <c r="Q170" s="1"/>
  <c r="P179"/>
  <c r="Q179" s="1"/>
  <c r="P181"/>
  <c r="Q181" s="1"/>
  <c r="P195"/>
  <c r="Q195" s="1"/>
  <c r="P197"/>
  <c r="Q197" s="1"/>
  <c r="P200"/>
  <c r="Q200" s="1"/>
  <c r="P201"/>
  <c r="Q201" s="1"/>
  <c r="P211"/>
  <c r="Q211" s="1"/>
  <c r="P222"/>
  <c r="Q222" s="1"/>
  <c r="P242"/>
  <c r="Q242" s="1"/>
  <c r="P247"/>
  <c r="Q247" s="1"/>
  <c r="P254"/>
  <c r="Q254" s="1"/>
  <c r="P258"/>
  <c r="Q258" s="1"/>
  <c r="P259"/>
  <c r="Q259" s="1"/>
  <c r="P260"/>
  <c r="Q260" s="1"/>
  <c r="P268"/>
  <c r="Q268" s="1"/>
  <c r="P272"/>
  <c r="Q272" s="1"/>
  <c r="P275"/>
  <c r="Q275" s="1"/>
  <c r="P281"/>
  <c r="Q281" s="1"/>
  <c r="P289"/>
  <c r="Q289" s="1"/>
  <c r="P299"/>
  <c r="Q299" s="1"/>
  <c r="P306"/>
  <c r="Q306" s="1"/>
  <c r="P308"/>
  <c r="Q308" s="1"/>
  <c r="P314"/>
  <c r="Q314" s="1"/>
  <c r="P317"/>
  <c r="Q317" s="1"/>
  <c r="P318"/>
  <c r="Q318" s="1"/>
  <c r="P321"/>
  <c r="Q321" s="1"/>
  <c r="P322"/>
  <c r="Q322" s="1"/>
  <c r="P326"/>
  <c r="Q326" s="1"/>
  <c r="P329"/>
  <c r="Q329" s="1"/>
  <c r="P330"/>
  <c r="Q330" s="1"/>
  <c r="P332"/>
  <c r="Q332" s="1"/>
  <c r="P334"/>
  <c r="Q334" s="1"/>
  <c r="P338"/>
  <c r="Q338" s="1"/>
  <c r="P341"/>
  <c r="Q341" s="1"/>
  <c r="P342"/>
  <c r="Q342" s="1"/>
  <c r="P346"/>
  <c r="Q346" s="1"/>
  <c r="P352"/>
  <c r="Q352" s="1"/>
  <c r="P354"/>
  <c r="Q354" s="1"/>
  <c r="P357"/>
  <c r="Q357" s="1"/>
  <c r="P378"/>
  <c r="Q378" s="1"/>
  <c r="P381"/>
  <c r="Q381" s="1"/>
  <c r="P383"/>
  <c r="Q383" s="1"/>
  <c r="P391"/>
  <c r="Q391" s="1"/>
  <c r="P392"/>
  <c r="Q392" s="1"/>
  <c r="P400"/>
  <c r="Q400" s="1"/>
  <c r="P403"/>
  <c r="Q403" s="1"/>
  <c r="P411"/>
  <c r="Q411" s="1"/>
  <c r="P412"/>
  <c r="Q412" s="1"/>
  <c r="P414"/>
  <c r="Q414" s="1"/>
  <c r="P417"/>
  <c r="Q417" s="1"/>
  <c r="P420"/>
  <c r="Q420" s="1"/>
  <c r="P421"/>
  <c r="Q421" s="1"/>
  <c r="P422"/>
  <c r="Q422" s="1"/>
  <c r="P441"/>
  <c r="Q441" s="1"/>
  <c r="P443"/>
  <c r="Q443" s="1"/>
  <c r="P449"/>
  <c r="Q449" s="1"/>
  <c r="P454"/>
  <c r="Q454" s="1"/>
  <c r="P464"/>
  <c r="Q464" s="1"/>
  <c r="P465"/>
  <c r="Q465" s="1"/>
  <c r="P466"/>
  <c r="Q466" s="1"/>
  <c r="P467"/>
  <c r="Q467" s="1"/>
  <c r="P469"/>
  <c r="Q469" s="1"/>
  <c r="P470"/>
  <c r="Q470" s="1"/>
  <c r="P474"/>
  <c r="Q474" s="1"/>
  <c r="P477"/>
  <c r="Q477" s="1"/>
  <c r="P479"/>
  <c r="Q479" s="1"/>
  <c r="P487"/>
  <c r="Q487" s="1"/>
  <c r="P500"/>
  <c r="Q500" s="1"/>
  <c r="P508"/>
  <c r="Q508" s="1"/>
  <c r="P512"/>
  <c r="Q512" s="1"/>
  <c r="P2"/>
  <c r="O3"/>
  <c r="O4"/>
  <c r="O5"/>
  <c r="O6"/>
  <c r="O7"/>
  <c r="O8"/>
  <c r="O9"/>
  <c r="O15"/>
  <c r="O19"/>
  <c r="O23"/>
  <c r="O24"/>
  <c r="O27"/>
  <c r="O28"/>
  <c r="O29"/>
  <c r="O30"/>
  <c r="O31"/>
  <c r="O32"/>
  <c r="O33"/>
  <c r="O34"/>
  <c r="O35"/>
  <c r="O36"/>
  <c r="O37"/>
  <c r="O38"/>
  <c r="O39"/>
  <c r="O50"/>
  <c r="O55"/>
  <c r="O56"/>
  <c r="O58"/>
  <c r="O60"/>
  <c r="O61"/>
  <c r="O62"/>
  <c r="O63"/>
  <c r="O76"/>
  <c r="O78"/>
  <c r="O81"/>
  <c r="O82"/>
  <c r="O97"/>
  <c r="O106"/>
  <c r="O108"/>
  <c r="O121"/>
  <c r="O128"/>
  <c r="O132"/>
  <c r="O146"/>
  <c r="O150"/>
  <c r="O151"/>
  <c r="O153"/>
  <c r="O154"/>
  <c r="O159"/>
  <c r="O162"/>
  <c r="O164"/>
  <c r="O168"/>
  <c r="O170"/>
  <c r="O177"/>
  <c r="O180"/>
  <c r="O181"/>
  <c r="O182"/>
  <c r="O184"/>
  <c r="O186"/>
  <c r="O206"/>
  <c r="O222"/>
  <c r="O227"/>
  <c r="O228"/>
  <c r="O236"/>
  <c r="O251"/>
  <c r="O260"/>
  <c r="O269"/>
  <c r="O270"/>
  <c r="O272"/>
  <c r="O274"/>
  <c r="O275"/>
  <c r="O288"/>
  <c r="O289"/>
  <c r="O290"/>
  <c r="O294"/>
  <c r="O301"/>
  <c r="O309"/>
  <c r="O310"/>
  <c r="O313"/>
  <c r="O314"/>
  <c r="O315"/>
  <c r="O325"/>
  <c r="O328"/>
  <c r="O335"/>
  <c r="O342"/>
  <c r="O344"/>
  <c r="O351"/>
  <c r="O353"/>
  <c r="O354"/>
  <c r="O357"/>
  <c r="O358"/>
  <c r="O364"/>
  <c r="O377"/>
  <c r="O383"/>
  <c r="O392"/>
  <c r="O393"/>
  <c r="O403"/>
  <c r="O405"/>
  <c r="O406"/>
  <c r="O409"/>
  <c r="O416"/>
  <c r="O421"/>
  <c r="O423"/>
  <c r="O424"/>
  <c r="O428"/>
  <c r="O429"/>
  <c r="O436"/>
  <c r="O443"/>
  <c r="O444"/>
  <c r="O445"/>
  <c r="O446"/>
  <c r="O456"/>
  <c r="O460"/>
  <c r="O479"/>
  <c r="O483"/>
  <c r="O495"/>
  <c r="O497"/>
  <c r="O500"/>
  <c r="O508"/>
  <c r="O514"/>
  <c r="O2"/>
  <c r="N3"/>
  <c r="N4"/>
  <c r="N5"/>
  <c r="N6"/>
  <c r="N7"/>
  <c r="N8"/>
  <c r="N9"/>
  <c r="N11"/>
  <c r="N17"/>
  <c r="N23"/>
  <c r="N24"/>
  <c r="N28"/>
  <c r="N29"/>
  <c r="N30"/>
  <c r="N31"/>
  <c r="N32"/>
  <c r="N33"/>
  <c r="N34"/>
  <c r="N35"/>
  <c r="N36"/>
  <c r="N37"/>
  <c r="N43"/>
  <c r="N46"/>
  <c r="N47"/>
  <c r="N48"/>
  <c r="N51"/>
  <c r="N52"/>
  <c r="N53"/>
  <c r="N55"/>
  <c r="N57"/>
  <c r="N58"/>
  <c r="N61"/>
  <c r="N62"/>
  <c r="N63"/>
  <c r="N74"/>
  <c r="N75"/>
  <c r="N76"/>
  <c r="N77"/>
  <c r="N78"/>
  <c r="N81"/>
  <c r="N82"/>
  <c r="N84"/>
  <c r="N85"/>
  <c r="N91"/>
  <c r="N98"/>
  <c r="N105"/>
  <c r="N106"/>
  <c r="N109"/>
  <c r="N112"/>
  <c r="N114"/>
  <c r="N118"/>
  <c r="N125"/>
  <c r="N126"/>
  <c r="N132"/>
  <c r="N136"/>
  <c r="N137"/>
  <c r="N140"/>
  <c r="N141"/>
  <c r="N148"/>
  <c r="N153"/>
  <c r="N160"/>
  <c r="N167"/>
  <c r="N171"/>
  <c r="N174"/>
  <c r="N180"/>
  <c r="N183"/>
  <c r="N184"/>
  <c r="N186"/>
  <c r="N193"/>
  <c r="N197"/>
  <c r="N200"/>
  <c r="N202"/>
  <c r="N207"/>
  <c r="N212"/>
  <c r="N213"/>
  <c r="N223"/>
  <c r="N225"/>
  <c r="N238"/>
  <c r="N255"/>
  <c r="N264"/>
  <c r="N269"/>
  <c r="N274"/>
  <c r="N277"/>
  <c r="N293"/>
  <c r="N306"/>
  <c r="N308"/>
  <c r="N312"/>
  <c r="N314"/>
  <c r="N318"/>
  <c r="N326"/>
  <c r="N329"/>
  <c r="N342"/>
  <c r="N344"/>
  <c r="N345"/>
  <c r="N346"/>
  <c r="N347"/>
  <c r="N348"/>
  <c r="N358"/>
  <c r="N365"/>
  <c r="N369"/>
  <c r="N372"/>
  <c r="N378"/>
  <c r="N383"/>
  <c r="N384"/>
  <c r="N386"/>
  <c r="N392"/>
  <c r="N394"/>
  <c r="N395"/>
  <c r="N398"/>
  <c r="N401"/>
  <c r="N405"/>
  <c r="N412"/>
  <c r="N414"/>
  <c r="N415"/>
  <c r="N416"/>
  <c r="N424"/>
  <c r="N425"/>
  <c r="N430"/>
  <c r="N437"/>
  <c r="N439"/>
  <c r="N452"/>
  <c r="N454"/>
  <c r="N455"/>
  <c r="N469"/>
  <c r="N471"/>
  <c r="N477"/>
  <c r="N481"/>
  <c r="N482"/>
  <c r="N484"/>
  <c r="N485"/>
  <c r="N494"/>
  <c r="N495"/>
  <c r="N497"/>
  <c r="N503"/>
  <c r="N513"/>
  <c r="N2"/>
  <c r="M515"/>
  <c r="M516"/>
  <c r="M517"/>
  <c r="M518"/>
  <c r="M519"/>
  <c r="M520"/>
  <c r="M521"/>
  <c r="M522"/>
  <c r="M523"/>
  <c r="M524"/>
  <c r="M525"/>
  <c r="M526"/>
  <c r="M527"/>
  <c r="M528"/>
  <c r="M529"/>
  <c r="M530"/>
  <c r="M531"/>
  <c r="M532"/>
  <c r="M533"/>
  <c r="M534"/>
  <c r="M535"/>
  <c r="M536"/>
  <c r="M537"/>
  <c r="M538"/>
  <c r="M539"/>
  <c r="M540"/>
  <c r="M541"/>
  <c r="M542"/>
  <c r="M543"/>
  <c r="M544"/>
  <c r="M545"/>
  <c r="M546"/>
  <c r="M547"/>
  <c r="M548"/>
  <c r="M549"/>
  <c r="M550"/>
  <c r="M551"/>
  <c r="M552"/>
  <c r="M553"/>
  <c r="M554"/>
  <c r="M555"/>
  <c r="M556"/>
  <c r="M557"/>
  <c r="M558"/>
  <c r="M559"/>
  <c r="M560"/>
  <c r="M561"/>
  <c r="M562"/>
  <c r="M563"/>
  <c r="M564"/>
  <c r="M565"/>
  <c r="M566"/>
  <c r="M567"/>
  <c r="M568"/>
  <c r="M569"/>
  <c r="M570"/>
  <c r="M571"/>
  <c r="M572"/>
  <c r="M573"/>
  <c r="M574"/>
  <c r="M575"/>
  <c r="M576"/>
  <c r="M577"/>
  <c r="M578"/>
  <c r="M579"/>
  <c r="M580"/>
  <c r="M581"/>
  <c r="M582"/>
  <c r="M583"/>
  <c r="M584"/>
  <c r="M585"/>
  <c r="M586"/>
  <c r="M587"/>
  <c r="M588"/>
  <c r="M589"/>
  <c r="M590"/>
  <c r="M591"/>
  <c r="M592"/>
  <c r="M593"/>
  <c r="M594"/>
  <c r="M595"/>
  <c r="M596"/>
  <c r="M597"/>
  <c r="M598"/>
  <c r="M599"/>
  <c r="M600"/>
  <c r="M601"/>
  <c r="M602"/>
  <c r="M603"/>
  <c r="M604"/>
  <c r="M605"/>
  <c r="M606"/>
  <c r="M607"/>
  <c r="M3"/>
  <c r="M4"/>
  <c r="M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M62"/>
  <c r="M63"/>
  <c r="M64"/>
  <c r="M65"/>
  <c r="M66"/>
  <c r="M67"/>
  <c r="M68"/>
  <c r="M69"/>
  <c r="M70"/>
  <c r="M71"/>
  <c r="M72"/>
  <c r="M73"/>
  <c r="M74"/>
  <c r="M75"/>
  <c r="M76"/>
  <c r="M77"/>
  <c r="M78"/>
  <c r="M79"/>
  <c r="M80"/>
  <c r="M81"/>
  <c r="M82"/>
  <c r="M83"/>
  <c r="M84"/>
  <c r="M85"/>
  <c r="M86"/>
  <c r="M87"/>
  <c r="M88"/>
  <c r="M89"/>
  <c r="M90"/>
  <c r="M91"/>
  <c r="M92"/>
  <c r="M93"/>
  <c r="M94"/>
  <c r="M95"/>
  <c r="M96"/>
  <c r="M97"/>
  <c r="M98"/>
  <c r="M99"/>
  <c r="M100"/>
  <c r="M101"/>
  <c r="M102"/>
  <c r="M103"/>
  <c r="M104"/>
  <c r="M105"/>
  <c r="M106"/>
  <c r="M107"/>
  <c r="M108"/>
  <c r="M109"/>
  <c r="M110"/>
  <c r="M111"/>
  <c r="M112"/>
  <c r="M113"/>
  <c r="M114"/>
  <c r="M115"/>
  <c r="M116"/>
  <c r="M117"/>
  <c r="M118"/>
  <c r="M119"/>
  <c r="M120"/>
  <c r="M121"/>
  <c r="M122"/>
  <c r="M123"/>
  <c r="M124"/>
  <c r="M125"/>
  <c r="M126"/>
  <c r="M127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M173"/>
  <c r="M174"/>
  <c r="M175"/>
  <c r="M176"/>
  <c r="M177"/>
  <c r="M178"/>
  <c r="M179"/>
  <c r="M180"/>
  <c r="M181"/>
  <c r="M182"/>
  <c r="M183"/>
  <c r="M184"/>
  <c r="M185"/>
  <c r="M186"/>
  <c r="M187"/>
  <c r="M188"/>
  <c r="M189"/>
  <c r="M190"/>
  <c r="M191"/>
  <c r="M192"/>
  <c r="M193"/>
  <c r="M194"/>
  <c r="M195"/>
  <c r="M196"/>
  <c r="M197"/>
  <c r="M198"/>
  <c r="M199"/>
  <c r="M200"/>
  <c r="M201"/>
  <c r="M202"/>
  <c r="M203"/>
  <c r="M204"/>
  <c r="M205"/>
  <c r="M206"/>
  <c r="M207"/>
  <c r="M208"/>
  <c r="M209"/>
  <c r="M210"/>
  <c r="M211"/>
  <c r="M212"/>
  <c r="M213"/>
  <c r="M214"/>
  <c r="M215"/>
  <c r="M216"/>
  <c r="M217"/>
  <c r="M218"/>
  <c r="M219"/>
  <c r="M220"/>
  <c r="M221"/>
  <c r="M222"/>
  <c r="M223"/>
  <c r="M224"/>
  <c r="M225"/>
  <c r="M226"/>
  <c r="M227"/>
  <c r="M228"/>
  <c r="M229"/>
  <c r="M230"/>
  <c r="M231"/>
  <c r="M232"/>
  <c r="M233"/>
  <c r="M234"/>
  <c r="M235"/>
  <c r="M236"/>
  <c r="M237"/>
  <c r="M238"/>
  <c r="M239"/>
  <c r="M240"/>
  <c r="M241"/>
  <c r="M242"/>
  <c r="M243"/>
  <c r="M244"/>
  <c r="M245"/>
  <c r="M246"/>
  <c r="M247"/>
  <c r="M248"/>
  <c r="M249"/>
  <c r="M250"/>
  <c r="M251"/>
  <c r="M252"/>
  <c r="M253"/>
  <c r="M254"/>
  <c r="M255"/>
  <c r="M256"/>
  <c r="M257"/>
  <c r="M258"/>
  <c r="M259"/>
  <c r="M260"/>
  <c r="M261"/>
  <c r="M262"/>
  <c r="M263"/>
  <c r="M264"/>
  <c r="M265"/>
  <c r="M266"/>
  <c r="M267"/>
  <c r="M268"/>
  <c r="M269"/>
  <c r="M270"/>
  <c r="M271"/>
  <c r="M272"/>
  <c r="M273"/>
  <c r="M274"/>
  <c r="M275"/>
  <c r="M276"/>
  <c r="M277"/>
  <c r="M278"/>
  <c r="M279"/>
  <c r="M280"/>
  <c r="M281"/>
  <c r="M282"/>
  <c r="M283"/>
  <c r="M284"/>
  <c r="M285"/>
  <c r="M286"/>
  <c r="M287"/>
  <c r="M288"/>
  <c r="M289"/>
  <c r="M290"/>
  <c r="M291"/>
  <c r="M292"/>
  <c r="M293"/>
  <c r="M294"/>
  <c r="M295"/>
  <c r="M296"/>
  <c r="M297"/>
  <c r="M298"/>
  <c r="M299"/>
  <c r="M300"/>
  <c r="M301"/>
  <c r="M302"/>
  <c r="M303"/>
  <c r="M304"/>
  <c r="M305"/>
  <c r="M306"/>
  <c r="M307"/>
  <c r="M308"/>
  <c r="M309"/>
  <c r="M310"/>
  <c r="M311"/>
  <c r="M312"/>
  <c r="M313"/>
  <c r="M314"/>
  <c r="M315"/>
  <c r="M316"/>
  <c r="M317"/>
  <c r="M318"/>
  <c r="M319"/>
  <c r="M320"/>
  <c r="M321"/>
  <c r="M322"/>
  <c r="M323"/>
  <c r="M324"/>
  <c r="M325"/>
  <c r="M326"/>
  <c r="M327"/>
  <c r="M328"/>
  <c r="M329"/>
  <c r="M330"/>
  <c r="M331"/>
  <c r="M332"/>
  <c r="M333"/>
  <c r="M334"/>
  <c r="M335"/>
  <c r="M336"/>
  <c r="M337"/>
  <c r="M338"/>
  <c r="M339"/>
  <c r="M340"/>
  <c r="M341"/>
  <c r="M342"/>
  <c r="M343"/>
  <c r="M344"/>
  <c r="M345"/>
  <c r="M346"/>
  <c r="M347"/>
  <c r="M348"/>
  <c r="M349"/>
  <c r="M350"/>
  <c r="M351"/>
  <c r="M352"/>
  <c r="M353"/>
  <c r="M354"/>
  <c r="M355"/>
  <c r="M356"/>
  <c r="M357"/>
  <c r="M358"/>
  <c r="M359"/>
  <c r="M360"/>
  <c r="M361"/>
  <c r="M362"/>
  <c r="M363"/>
  <c r="M364"/>
  <c r="M365"/>
  <c r="M366"/>
  <c r="M367"/>
  <c r="M368"/>
  <c r="M369"/>
  <c r="M370"/>
  <c r="M371"/>
  <c r="M372"/>
  <c r="M373"/>
  <c r="M374"/>
  <c r="M375"/>
  <c r="M376"/>
  <c r="M377"/>
  <c r="M378"/>
  <c r="M379"/>
  <c r="M380"/>
  <c r="M381"/>
  <c r="M382"/>
  <c r="M383"/>
  <c r="M384"/>
  <c r="M385"/>
  <c r="M386"/>
  <c r="M387"/>
  <c r="M388"/>
  <c r="M389"/>
  <c r="M390"/>
  <c r="M391"/>
  <c r="M392"/>
  <c r="M393"/>
  <c r="M394"/>
  <c r="M395"/>
  <c r="M396"/>
  <c r="M397"/>
  <c r="M398"/>
  <c r="M399"/>
  <c r="M400"/>
  <c r="M401"/>
  <c r="M402"/>
  <c r="M403"/>
  <c r="M404"/>
  <c r="M405"/>
  <c r="M406"/>
  <c r="M407"/>
  <c r="M408"/>
  <c r="M409"/>
  <c r="M410"/>
  <c r="M411"/>
  <c r="M412"/>
  <c r="M413"/>
  <c r="M414"/>
  <c r="M415"/>
  <c r="M416"/>
  <c r="M417"/>
  <c r="M418"/>
  <c r="M419"/>
  <c r="M420"/>
  <c r="M421"/>
  <c r="M422"/>
  <c r="M423"/>
  <c r="M424"/>
  <c r="M425"/>
  <c r="M426"/>
  <c r="M427"/>
  <c r="M428"/>
  <c r="M429"/>
  <c r="M430"/>
  <c r="M431"/>
  <c r="M432"/>
  <c r="M433"/>
  <c r="M434"/>
  <c r="M435"/>
  <c r="M436"/>
  <c r="M437"/>
  <c r="M438"/>
  <c r="M439"/>
  <c r="M440"/>
  <c r="M441"/>
  <c r="M442"/>
  <c r="M443"/>
  <c r="M444"/>
  <c r="M445"/>
  <c r="M446"/>
  <c r="M447"/>
  <c r="M448"/>
  <c r="M449"/>
  <c r="M450"/>
  <c r="M451"/>
  <c r="M452"/>
  <c r="M453"/>
  <c r="M454"/>
  <c r="M455"/>
  <c r="M456"/>
  <c r="M457"/>
  <c r="M458"/>
  <c r="M459"/>
  <c r="M460"/>
  <c r="M461"/>
  <c r="M462"/>
  <c r="M463"/>
  <c r="M464"/>
  <c r="M465"/>
  <c r="M466"/>
  <c r="M467"/>
  <c r="M468"/>
  <c r="M469"/>
  <c r="M470"/>
  <c r="M471"/>
  <c r="M472"/>
  <c r="M473"/>
  <c r="M474"/>
  <c r="M475"/>
  <c r="M476"/>
  <c r="M477"/>
  <c r="M478"/>
  <c r="M479"/>
  <c r="M480"/>
  <c r="M481"/>
  <c r="M482"/>
  <c r="M483"/>
  <c r="M484"/>
  <c r="M485"/>
  <c r="M486"/>
  <c r="M487"/>
  <c r="M488"/>
  <c r="M489"/>
  <c r="M490"/>
  <c r="M491"/>
  <c r="M492"/>
  <c r="M493"/>
  <c r="M494"/>
  <c r="M495"/>
  <c r="M496"/>
  <c r="M497"/>
  <c r="M498"/>
  <c r="M499"/>
  <c r="M500"/>
  <c r="M501"/>
  <c r="M502"/>
  <c r="M503"/>
  <c r="M504"/>
  <c r="M505"/>
  <c r="M506"/>
  <c r="M507"/>
  <c r="M508"/>
  <c r="M509"/>
  <c r="M510"/>
  <c r="M511"/>
  <c r="M512"/>
  <c r="M513"/>
  <c r="M514"/>
  <c r="M2"/>
  <c r="L515"/>
  <c r="L516"/>
  <c r="L517"/>
  <c r="L518"/>
  <c r="L519"/>
  <c r="L520"/>
  <c r="L521"/>
  <c r="L522"/>
  <c r="L523"/>
  <c r="L524"/>
  <c r="L525"/>
  <c r="L526"/>
  <c r="L527"/>
  <c r="L528"/>
  <c r="L529"/>
  <c r="L530"/>
  <c r="L531"/>
  <c r="L532"/>
  <c r="L533"/>
  <c r="L534"/>
  <c r="L535"/>
  <c r="L536"/>
  <c r="L537"/>
  <c r="L538"/>
  <c r="L539"/>
  <c r="L540"/>
  <c r="L541"/>
  <c r="L542"/>
  <c r="L543"/>
  <c r="L544"/>
  <c r="L545"/>
  <c r="L546"/>
  <c r="L547"/>
  <c r="L548"/>
  <c r="L549"/>
  <c r="L550"/>
  <c r="L551"/>
  <c r="L552"/>
  <c r="L553"/>
  <c r="L554"/>
  <c r="L555"/>
  <c r="L556"/>
  <c r="L557"/>
  <c r="L558"/>
  <c r="L559"/>
  <c r="L560"/>
  <c r="L561"/>
  <c r="L562"/>
  <c r="L563"/>
  <c r="L564"/>
  <c r="L565"/>
  <c r="L566"/>
  <c r="L567"/>
  <c r="L568"/>
  <c r="L569"/>
  <c r="L570"/>
  <c r="L571"/>
  <c r="L572"/>
  <c r="L573"/>
  <c r="L574"/>
  <c r="L575"/>
  <c r="L576"/>
  <c r="L577"/>
  <c r="L578"/>
  <c r="L579"/>
  <c r="L580"/>
  <c r="L581"/>
  <c r="L582"/>
  <c r="L583"/>
  <c r="L584"/>
  <c r="L585"/>
  <c r="L586"/>
  <c r="L587"/>
  <c r="L588"/>
  <c r="L589"/>
  <c r="L590"/>
  <c r="L591"/>
  <c r="L592"/>
  <c r="L593"/>
  <c r="L594"/>
  <c r="L595"/>
  <c r="L596"/>
  <c r="L597"/>
  <c r="L598"/>
  <c r="L599"/>
  <c r="L600"/>
  <c r="L601"/>
  <c r="L602"/>
  <c r="L603"/>
  <c r="L604"/>
  <c r="L605"/>
  <c r="L606"/>
  <c r="L607"/>
  <c r="L3"/>
  <c r="L4"/>
  <c r="L5"/>
  <c r="L6"/>
  <c r="L7"/>
  <c r="L8"/>
  <c r="L9"/>
  <c r="L15"/>
  <c r="L22"/>
  <c r="L23"/>
  <c r="L24"/>
  <c r="L25"/>
  <c r="L28"/>
  <c r="L29"/>
  <c r="L30"/>
  <c r="L31"/>
  <c r="L32"/>
  <c r="L33"/>
  <c r="L34"/>
  <c r="L35"/>
  <c r="L36"/>
  <c r="L37"/>
  <c r="L38"/>
  <c r="L48"/>
  <c r="L49"/>
  <c r="L51"/>
  <c r="L52"/>
  <c r="L56"/>
  <c r="L57"/>
  <c r="L58"/>
  <c r="L61"/>
  <c r="L62"/>
  <c r="L63"/>
  <c r="L64"/>
  <c r="L69"/>
  <c r="L74"/>
  <c r="L77"/>
  <c r="L78"/>
  <c r="L79"/>
  <c r="L82"/>
  <c r="L87"/>
  <c r="L98"/>
  <c r="L99"/>
  <c r="L104"/>
  <c r="L107"/>
  <c r="L109"/>
  <c r="L119"/>
  <c r="L121"/>
  <c r="L127"/>
  <c r="L132"/>
  <c r="L134"/>
  <c r="L139"/>
  <c r="L149"/>
  <c r="L150"/>
  <c r="L151"/>
  <c r="L153"/>
  <c r="L167"/>
  <c r="L171"/>
  <c r="L172"/>
  <c r="L174"/>
  <c r="L175"/>
  <c r="L177"/>
  <c r="L181"/>
  <c r="L182"/>
  <c r="L187"/>
  <c r="L204"/>
  <c r="L213"/>
  <c r="L216"/>
  <c r="L223"/>
  <c r="L228"/>
  <c r="L230"/>
  <c r="L237"/>
  <c r="L249"/>
  <c r="L254"/>
  <c r="L259"/>
  <c r="L261"/>
  <c r="L263"/>
  <c r="L270"/>
  <c r="L271"/>
  <c r="L276"/>
  <c r="L284"/>
  <c r="L285"/>
  <c r="L287"/>
  <c r="L292"/>
  <c r="L294"/>
  <c r="L301"/>
  <c r="L302"/>
  <c r="L315"/>
  <c r="L319"/>
  <c r="L320"/>
  <c r="L323"/>
  <c r="L327"/>
  <c r="L333"/>
  <c r="L335"/>
  <c r="L344"/>
  <c r="L345"/>
  <c r="L346"/>
  <c r="L348"/>
  <c r="L351"/>
  <c r="L364"/>
  <c r="L374"/>
  <c r="L378"/>
  <c r="L380"/>
  <c r="L381"/>
  <c r="L396"/>
  <c r="L404"/>
  <c r="L409"/>
  <c r="L413"/>
  <c r="L415"/>
  <c r="L437"/>
  <c r="L438"/>
  <c r="L457"/>
  <c r="L473"/>
  <c r="L475"/>
  <c r="L481"/>
  <c r="L487"/>
  <c r="L489"/>
  <c r="L495"/>
  <c r="L503"/>
  <c r="L505"/>
  <c r="L511"/>
  <c r="L512"/>
  <c r="L514"/>
  <c r="D520"/>
  <c r="D525"/>
  <c r="D536"/>
  <c r="D544"/>
  <c r="D552"/>
  <c r="D576"/>
  <c r="D584"/>
  <c r="D600"/>
  <c r="J516"/>
  <c r="J517"/>
  <c r="J518"/>
  <c r="J519"/>
  <c r="J520"/>
  <c r="J521"/>
  <c r="J522"/>
  <c r="J523"/>
  <c r="J524"/>
  <c r="J525"/>
  <c r="J526"/>
  <c r="J527"/>
  <c r="J528"/>
  <c r="J529"/>
  <c r="J530"/>
  <c r="J531"/>
  <c r="J532"/>
  <c r="J533"/>
  <c r="J534"/>
  <c r="J535"/>
  <c r="J536"/>
  <c r="J537"/>
  <c r="J538"/>
  <c r="J539"/>
  <c r="J540"/>
  <c r="J541"/>
  <c r="J542"/>
  <c r="J543"/>
  <c r="J544"/>
  <c r="J545"/>
  <c r="J546"/>
  <c r="J547"/>
  <c r="J548"/>
  <c r="J549"/>
  <c r="J550"/>
  <c r="J551"/>
  <c r="J552"/>
  <c r="J553"/>
  <c r="J554"/>
  <c r="J555"/>
  <c r="J556"/>
  <c r="J557"/>
  <c r="J558"/>
  <c r="J559"/>
  <c r="J560"/>
  <c r="J561"/>
  <c r="J562"/>
  <c r="J563"/>
  <c r="J564"/>
  <c r="J565"/>
  <c r="J566"/>
  <c r="J567"/>
  <c r="J568"/>
  <c r="J569"/>
  <c r="J570"/>
  <c r="J571"/>
  <c r="J572"/>
  <c r="J573"/>
  <c r="J574"/>
  <c r="J575"/>
  <c r="J576"/>
  <c r="J577"/>
  <c r="J578"/>
  <c r="J579"/>
  <c r="J580"/>
  <c r="J581"/>
  <c r="J582"/>
  <c r="J583"/>
  <c r="J584"/>
  <c r="J585"/>
  <c r="J586"/>
  <c r="J587"/>
  <c r="J588"/>
  <c r="J589"/>
  <c r="J590"/>
  <c r="J591"/>
  <c r="J592"/>
  <c r="J593"/>
  <c r="J594"/>
  <c r="J595"/>
  <c r="J596"/>
  <c r="J597"/>
  <c r="J598"/>
  <c r="J599"/>
  <c r="J600"/>
  <c r="J601"/>
  <c r="J602"/>
  <c r="J603"/>
  <c r="J604"/>
  <c r="J605"/>
  <c r="J606"/>
  <c r="J607"/>
  <c r="J515"/>
  <c r="L2"/>
  <c r="J3"/>
  <c r="J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J173"/>
  <c r="J174"/>
  <c r="J175"/>
  <c r="J176"/>
  <c r="J177"/>
  <c r="J178"/>
  <c r="J179"/>
  <c r="J180"/>
  <c r="J181"/>
  <c r="J182"/>
  <c r="J183"/>
  <c r="J184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226"/>
  <c r="J227"/>
  <c r="J228"/>
  <c r="J229"/>
  <c r="J230"/>
  <c r="J231"/>
  <c r="J232"/>
  <c r="J233"/>
  <c r="J234"/>
  <c r="J235"/>
  <c r="J236"/>
  <c r="J237"/>
  <c r="J238"/>
  <c r="J239"/>
  <c r="J240"/>
  <c r="J241"/>
  <c r="J242"/>
  <c r="J243"/>
  <c r="J244"/>
  <c r="J245"/>
  <c r="J246"/>
  <c r="J247"/>
  <c r="J248"/>
  <c r="J249"/>
  <c r="J250"/>
  <c r="J251"/>
  <c r="J252"/>
  <c r="J253"/>
  <c r="J254"/>
  <c r="J255"/>
  <c r="J256"/>
  <c r="J257"/>
  <c r="J258"/>
  <c r="J259"/>
  <c r="J260"/>
  <c r="J261"/>
  <c r="J262"/>
  <c r="J263"/>
  <c r="J264"/>
  <c r="J265"/>
  <c r="J266"/>
  <c r="J267"/>
  <c r="J268"/>
  <c r="J269"/>
  <c r="J270"/>
  <c r="J271"/>
  <c r="J272"/>
  <c r="J273"/>
  <c r="J274"/>
  <c r="J275"/>
  <c r="J276"/>
  <c r="J277"/>
  <c r="J278"/>
  <c r="J279"/>
  <c r="J280"/>
  <c r="J281"/>
  <c r="J282"/>
  <c r="J283"/>
  <c r="J284"/>
  <c r="J285"/>
  <c r="J286"/>
  <c r="J287"/>
  <c r="J288"/>
  <c r="J289"/>
  <c r="J290"/>
  <c r="J291"/>
  <c r="J292"/>
  <c r="J293"/>
  <c r="J294"/>
  <c r="J295"/>
  <c r="J296"/>
  <c r="J297"/>
  <c r="J298"/>
  <c r="J299"/>
  <c r="J300"/>
  <c r="J301"/>
  <c r="J302"/>
  <c r="J303"/>
  <c r="J304"/>
  <c r="J305"/>
  <c r="J306"/>
  <c r="J307"/>
  <c r="J308"/>
  <c r="J309"/>
  <c r="J310"/>
  <c r="J311"/>
  <c r="J312"/>
  <c r="J313"/>
  <c r="J314"/>
  <c r="J315"/>
  <c r="J316"/>
  <c r="J317"/>
  <c r="J318"/>
  <c r="J319"/>
  <c r="J320"/>
  <c r="J321"/>
  <c r="J322"/>
  <c r="J323"/>
  <c r="J324"/>
  <c r="J325"/>
  <c r="J326"/>
  <c r="J327"/>
  <c r="J328"/>
  <c r="J329"/>
  <c r="J330"/>
  <c r="J331"/>
  <c r="J332"/>
  <c r="J333"/>
  <c r="J334"/>
  <c r="J335"/>
  <c r="J336"/>
  <c r="J337"/>
  <c r="J338"/>
  <c r="J339"/>
  <c r="J340"/>
  <c r="J341"/>
  <c r="J342"/>
  <c r="J343"/>
  <c r="J344"/>
  <c r="J345"/>
  <c r="J346"/>
  <c r="J347"/>
  <c r="J348"/>
  <c r="J349"/>
  <c r="J350"/>
  <c r="J351"/>
  <c r="J352"/>
  <c r="J353"/>
  <c r="J354"/>
  <c r="J355"/>
  <c r="J356"/>
  <c r="J357"/>
  <c r="J358"/>
  <c r="J359"/>
  <c r="J360"/>
  <c r="J361"/>
  <c r="J362"/>
  <c r="J363"/>
  <c r="J364"/>
  <c r="J365"/>
  <c r="J366"/>
  <c r="J367"/>
  <c r="J368"/>
  <c r="J369"/>
  <c r="J370"/>
  <c r="J371"/>
  <c r="J372"/>
  <c r="J373"/>
  <c r="J374"/>
  <c r="J375"/>
  <c r="J376"/>
  <c r="J377"/>
  <c r="J378"/>
  <c r="J379"/>
  <c r="J380"/>
  <c r="J381"/>
  <c r="J382"/>
  <c r="J383"/>
  <c r="J384"/>
  <c r="J385"/>
  <c r="J386"/>
  <c r="J387"/>
  <c r="J388"/>
  <c r="J389"/>
  <c r="J390"/>
  <c r="J391"/>
  <c r="J392"/>
  <c r="J393"/>
  <c r="J394"/>
  <c r="J395"/>
  <c r="J396"/>
  <c r="J397"/>
  <c r="J398"/>
  <c r="J399"/>
  <c r="J400"/>
  <c r="J401"/>
  <c r="J402"/>
  <c r="J403"/>
  <c r="J404"/>
  <c r="J405"/>
  <c r="J406"/>
  <c r="J407"/>
  <c r="J408"/>
  <c r="J409"/>
  <c r="J410"/>
  <c r="J411"/>
  <c r="J412"/>
  <c r="J413"/>
  <c r="J414"/>
  <c r="J415"/>
  <c r="J416"/>
  <c r="J417"/>
  <c r="J418"/>
  <c r="J419"/>
  <c r="J420"/>
  <c r="J421"/>
  <c r="J422"/>
  <c r="J423"/>
  <c r="J424"/>
  <c r="J425"/>
  <c r="J426"/>
  <c r="J427"/>
  <c r="J428"/>
  <c r="J429"/>
  <c r="J430"/>
  <c r="J431"/>
  <c r="J432"/>
  <c r="J433"/>
  <c r="J434"/>
  <c r="J435"/>
  <c r="J436"/>
  <c r="J437"/>
  <c r="J438"/>
  <c r="J439"/>
  <c r="J440"/>
  <c r="J441"/>
  <c r="J442"/>
  <c r="J443"/>
  <c r="J444"/>
  <c r="J445"/>
  <c r="J446"/>
  <c r="J447"/>
  <c r="J448"/>
  <c r="J449"/>
  <c r="J450"/>
  <c r="J451"/>
  <c r="J452"/>
  <c r="J453"/>
  <c r="J454"/>
  <c r="J455"/>
  <c r="J456"/>
  <c r="J457"/>
  <c r="J458"/>
  <c r="J459"/>
  <c r="J460"/>
  <c r="J461"/>
  <c r="J462"/>
  <c r="J463"/>
  <c r="J464"/>
  <c r="J465"/>
  <c r="J466"/>
  <c r="J467"/>
  <c r="J468"/>
  <c r="J469"/>
  <c r="J470"/>
  <c r="J471"/>
  <c r="J472"/>
  <c r="J473"/>
  <c r="J474"/>
  <c r="J475"/>
  <c r="J476"/>
  <c r="J477"/>
  <c r="J478"/>
  <c r="J479"/>
  <c r="J480"/>
  <c r="J481"/>
  <c r="J482"/>
  <c r="J483"/>
  <c r="J484"/>
  <c r="J485"/>
  <c r="J486"/>
  <c r="J487"/>
  <c r="J488"/>
  <c r="J489"/>
  <c r="J490"/>
  <c r="J491"/>
  <c r="J492"/>
  <c r="J493"/>
  <c r="J494"/>
  <c r="J495"/>
  <c r="J496"/>
  <c r="J497"/>
  <c r="J498"/>
  <c r="J499"/>
  <c r="J500"/>
  <c r="J501"/>
  <c r="J502"/>
  <c r="J503"/>
  <c r="J504"/>
  <c r="J505"/>
  <c r="J506"/>
  <c r="J507"/>
  <c r="J508"/>
  <c r="J509"/>
  <c r="J510"/>
  <c r="J511"/>
  <c r="J512"/>
  <c r="J513"/>
  <c r="J514"/>
  <c r="J2"/>
  <c r="I3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439"/>
  <c r="I440"/>
  <c r="I441"/>
  <c r="I442"/>
  <c r="I443"/>
  <c r="I444"/>
  <c r="I445"/>
  <c r="I446"/>
  <c r="I447"/>
  <c r="I448"/>
  <c r="I449"/>
  <c r="I450"/>
  <c r="I451"/>
  <c r="I452"/>
  <c r="I453"/>
  <c r="I454"/>
  <c r="I455"/>
  <c r="I456"/>
  <c r="I457"/>
  <c r="I458"/>
  <c r="I459"/>
  <c r="I460"/>
  <c r="I461"/>
  <c r="I462"/>
  <c r="I463"/>
  <c r="I464"/>
  <c r="I465"/>
  <c r="I466"/>
  <c r="I467"/>
  <c r="I468"/>
  <c r="I469"/>
  <c r="I470"/>
  <c r="I471"/>
  <c r="I472"/>
  <c r="I473"/>
  <c r="I474"/>
  <c r="I475"/>
  <c r="I476"/>
  <c r="I477"/>
  <c r="I478"/>
  <c r="I479"/>
  <c r="I480"/>
  <c r="I481"/>
  <c r="I482"/>
  <c r="I483"/>
  <c r="I484"/>
  <c r="I485"/>
  <c r="I486"/>
  <c r="I487"/>
  <c r="I488"/>
  <c r="I489"/>
  <c r="I490"/>
  <c r="I491"/>
  <c r="I492"/>
  <c r="I493"/>
  <c r="I494"/>
  <c r="I495"/>
  <c r="I496"/>
  <c r="I497"/>
  <c r="I498"/>
  <c r="I499"/>
  <c r="I500"/>
  <c r="I501"/>
  <c r="I502"/>
  <c r="I503"/>
  <c r="I504"/>
  <c r="I505"/>
  <c r="I506"/>
  <c r="I507"/>
  <c r="I508"/>
  <c r="I509"/>
  <c r="I510"/>
  <c r="I511"/>
  <c r="I512"/>
  <c r="I513"/>
  <c r="I514"/>
  <c r="I515"/>
  <c r="C515" s="1"/>
  <c r="B515" s="1"/>
  <c r="I516"/>
  <c r="C516" s="1"/>
  <c r="B516" s="1"/>
  <c r="I517"/>
  <c r="C517" s="1"/>
  <c r="B517" s="1"/>
  <c r="I518"/>
  <c r="C518" s="1"/>
  <c r="B518" s="1"/>
  <c r="I519"/>
  <c r="C519" s="1"/>
  <c r="B519" s="1"/>
  <c r="I520"/>
  <c r="C520" s="1"/>
  <c r="B520" s="1"/>
  <c r="I521"/>
  <c r="C521" s="1"/>
  <c r="B521" s="1"/>
  <c r="I522"/>
  <c r="C522" s="1"/>
  <c r="B522" s="1"/>
  <c r="I523"/>
  <c r="C523" s="1"/>
  <c r="B523" s="1"/>
  <c r="I524"/>
  <c r="C524" s="1"/>
  <c r="B524" s="1"/>
  <c r="I525"/>
  <c r="C525" s="1"/>
  <c r="B525" s="1"/>
  <c r="I526"/>
  <c r="C526" s="1"/>
  <c r="B526" s="1"/>
  <c r="I527"/>
  <c r="C527" s="1"/>
  <c r="B527" s="1"/>
  <c r="I528"/>
  <c r="C528" s="1"/>
  <c r="B528" s="1"/>
  <c r="I529"/>
  <c r="C529" s="1"/>
  <c r="B529" s="1"/>
  <c r="I530"/>
  <c r="C530" s="1"/>
  <c r="B530" s="1"/>
  <c r="I531"/>
  <c r="C531" s="1"/>
  <c r="B531" s="1"/>
  <c r="I532"/>
  <c r="C532" s="1"/>
  <c r="B532" s="1"/>
  <c r="I533"/>
  <c r="C533" s="1"/>
  <c r="B533" s="1"/>
  <c r="I534"/>
  <c r="C534" s="1"/>
  <c r="B534" s="1"/>
  <c r="I535"/>
  <c r="C535" s="1"/>
  <c r="B535" s="1"/>
  <c r="I536"/>
  <c r="C536" s="1"/>
  <c r="B536" s="1"/>
  <c r="I537"/>
  <c r="C537" s="1"/>
  <c r="B537" s="1"/>
  <c r="I538"/>
  <c r="C538" s="1"/>
  <c r="B538" s="1"/>
  <c r="I539"/>
  <c r="C539" s="1"/>
  <c r="B539" s="1"/>
  <c r="I540"/>
  <c r="C540" s="1"/>
  <c r="B540" s="1"/>
  <c r="I541"/>
  <c r="C541" s="1"/>
  <c r="B541" s="1"/>
  <c r="I542"/>
  <c r="C542" s="1"/>
  <c r="B542" s="1"/>
  <c r="I543"/>
  <c r="C543" s="1"/>
  <c r="B543" s="1"/>
  <c r="I544"/>
  <c r="C544" s="1"/>
  <c r="B544" s="1"/>
  <c r="I545"/>
  <c r="C545" s="1"/>
  <c r="B545" s="1"/>
  <c r="I546"/>
  <c r="C546" s="1"/>
  <c r="B546" s="1"/>
  <c r="I547"/>
  <c r="C547" s="1"/>
  <c r="B547" s="1"/>
  <c r="I548"/>
  <c r="C548" s="1"/>
  <c r="B548" s="1"/>
  <c r="I549"/>
  <c r="C549" s="1"/>
  <c r="B549" s="1"/>
  <c r="I550"/>
  <c r="C550" s="1"/>
  <c r="B550" s="1"/>
  <c r="I551"/>
  <c r="C551" s="1"/>
  <c r="B551" s="1"/>
  <c r="I552"/>
  <c r="C552" s="1"/>
  <c r="B552" s="1"/>
  <c r="I553"/>
  <c r="I554"/>
  <c r="C554" s="1"/>
  <c r="B554" s="1"/>
  <c r="I555"/>
  <c r="C555" s="1"/>
  <c r="B555" s="1"/>
  <c r="I556"/>
  <c r="C556" s="1"/>
  <c r="B556" s="1"/>
  <c r="I557"/>
  <c r="C557" s="1"/>
  <c r="B557" s="1"/>
  <c r="I558"/>
  <c r="C558" s="1"/>
  <c r="B558" s="1"/>
  <c r="I559"/>
  <c r="C559" s="1"/>
  <c r="B559" s="1"/>
  <c r="I560"/>
  <c r="C560" s="1"/>
  <c r="B560" s="1"/>
  <c r="I561"/>
  <c r="C561" s="1"/>
  <c r="B561" s="1"/>
  <c r="I562"/>
  <c r="C562" s="1"/>
  <c r="B562" s="1"/>
  <c r="I563"/>
  <c r="C563" s="1"/>
  <c r="B563" s="1"/>
  <c r="I564"/>
  <c r="C564" s="1"/>
  <c r="B564" s="1"/>
  <c r="I565"/>
  <c r="C565" s="1"/>
  <c r="B565" s="1"/>
  <c r="I566"/>
  <c r="C566" s="1"/>
  <c r="B566" s="1"/>
  <c r="I567"/>
  <c r="C567" s="1"/>
  <c r="B567" s="1"/>
  <c r="I568"/>
  <c r="C568" s="1"/>
  <c r="B568" s="1"/>
  <c r="I569"/>
  <c r="C569" s="1"/>
  <c r="B569" s="1"/>
  <c r="I570"/>
  <c r="C570" s="1"/>
  <c r="B570" s="1"/>
  <c r="I571"/>
  <c r="C571" s="1"/>
  <c r="B571" s="1"/>
  <c r="I572"/>
  <c r="C572" s="1"/>
  <c r="B572" s="1"/>
  <c r="I573"/>
  <c r="C573" s="1"/>
  <c r="B573" s="1"/>
  <c r="I574"/>
  <c r="C574" s="1"/>
  <c r="B574" s="1"/>
  <c r="I575"/>
  <c r="C575" s="1"/>
  <c r="B575" s="1"/>
  <c r="I576"/>
  <c r="C576" s="1"/>
  <c r="B576" s="1"/>
  <c r="I577"/>
  <c r="C577" s="1"/>
  <c r="B577" s="1"/>
  <c r="I578"/>
  <c r="C578" s="1"/>
  <c r="B578" s="1"/>
  <c r="I579"/>
  <c r="C579" s="1"/>
  <c r="B579" s="1"/>
  <c r="I580"/>
  <c r="C580" s="1"/>
  <c r="B580" s="1"/>
  <c r="I581"/>
  <c r="C581" s="1"/>
  <c r="B581" s="1"/>
  <c r="I582"/>
  <c r="C582" s="1"/>
  <c r="B582" s="1"/>
  <c r="I583"/>
  <c r="C583" s="1"/>
  <c r="B583" s="1"/>
  <c r="I584"/>
  <c r="C584" s="1"/>
  <c r="B584" s="1"/>
  <c r="I585"/>
  <c r="C585" s="1"/>
  <c r="B585" s="1"/>
  <c r="I586"/>
  <c r="C586" s="1"/>
  <c r="B586" s="1"/>
  <c r="I587"/>
  <c r="C587" s="1"/>
  <c r="B587" s="1"/>
  <c r="I588"/>
  <c r="C588" s="1"/>
  <c r="B588" s="1"/>
  <c r="I589"/>
  <c r="C589" s="1"/>
  <c r="B589" s="1"/>
  <c r="I590"/>
  <c r="C590" s="1"/>
  <c r="B590" s="1"/>
  <c r="I591"/>
  <c r="C591" s="1"/>
  <c r="B591" s="1"/>
  <c r="I592"/>
  <c r="C592" s="1"/>
  <c r="B592" s="1"/>
  <c r="I593"/>
  <c r="C593" s="1"/>
  <c r="B593" s="1"/>
  <c r="I594"/>
  <c r="C594" s="1"/>
  <c r="B594" s="1"/>
  <c r="I595"/>
  <c r="C595" s="1"/>
  <c r="B595" s="1"/>
  <c r="I596"/>
  <c r="C596" s="1"/>
  <c r="B596" s="1"/>
  <c r="I597"/>
  <c r="C597" s="1"/>
  <c r="B597" s="1"/>
  <c r="I598"/>
  <c r="C598" s="1"/>
  <c r="B598" s="1"/>
  <c r="I599"/>
  <c r="C599" s="1"/>
  <c r="B599" s="1"/>
  <c r="I600"/>
  <c r="C600" s="1"/>
  <c r="B600" s="1"/>
  <c r="I601"/>
  <c r="C601" s="1"/>
  <c r="B601" s="1"/>
  <c r="I602"/>
  <c r="C602" s="1"/>
  <c r="B602" s="1"/>
  <c r="I603"/>
  <c r="C603" s="1"/>
  <c r="B603" s="1"/>
  <c r="I604"/>
  <c r="C604" s="1"/>
  <c r="B604" s="1"/>
  <c r="I605"/>
  <c r="C605" s="1"/>
  <c r="B605" s="1"/>
  <c r="I606"/>
  <c r="C606" s="1"/>
  <c r="B606" s="1"/>
  <c r="I607"/>
  <c r="C607" s="1"/>
  <c r="B607" s="1"/>
  <c r="I2"/>
  <c r="C553"/>
  <c r="B553" s="1"/>
  <c r="D521"/>
  <c r="D522"/>
  <c r="D529"/>
  <c r="D530"/>
  <c r="D537"/>
  <c r="D538"/>
  <c r="D545"/>
  <c r="D546"/>
  <c r="D553"/>
  <c r="D554"/>
  <c r="D561"/>
  <c r="D562"/>
  <c r="D569"/>
  <c r="D570"/>
  <c r="D577"/>
  <c r="D578"/>
  <c r="D585"/>
  <c r="D586"/>
  <c r="D593"/>
  <c r="D594"/>
  <c r="D601"/>
  <c r="D602"/>
  <c r="G543"/>
  <c r="G544"/>
  <c r="G545"/>
  <c r="G546"/>
  <c r="G547"/>
  <c r="G548"/>
  <c r="G549"/>
  <c r="G550"/>
  <c r="G551"/>
  <c r="G552"/>
  <c r="G553"/>
  <c r="G554"/>
  <c r="G555"/>
  <c r="G556"/>
  <c r="G557"/>
  <c r="G558"/>
  <c r="G559"/>
  <c r="G560"/>
  <c r="G561"/>
  <c r="G562"/>
  <c r="G563"/>
  <c r="G564"/>
  <c r="G565"/>
  <c r="G566"/>
  <c r="G567"/>
  <c r="G568"/>
  <c r="G569"/>
  <c r="G570"/>
  <c r="G571"/>
  <c r="G572"/>
  <c r="G573"/>
  <c r="G574"/>
  <c r="G575"/>
  <c r="G576"/>
  <c r="G577"/>
  <c r="G578"/>
  <c r="G579"/>
  <c r="G580"/>
  <c r="G581"/>
  <c r="G582"/>
  <c r="G583"/>
  <c r="G584"/>
  <c r="G585"/>
  <c r="G586"/>
  <c r="G587"/>
  <c r="G588"/>
  <c r="G589"/>
  <c r="G590"/>
  <c r="G591"/>
  <c r="G592"/>
  <c r="G593"/>
  <c r="G594"/>
  <c r="G595"/>
  <c r="G596"/>
  <c r="G597"/>
  <c r="G598"/>
  <c r="G599"/>
  <c r="G600"/>
  <c r="G601"/>
  <c r="G602"/>
  <c r="G603"/>
  <c r="G604"/>
  <c r="G605"/>
  <c r="G606"/>
  <c r="G607"/>
  <c r="G515"/>
  <c r="G516"/>
  <c r="G517"/>
  <c r="G518"/>
  <c r="G519"/>
  <c r="G520"/>
  <c r="G521"/>
  <c r="G522"/>
  <c r="G523"/>
  <c r="G524"/>
  <c r="G525"/>
  <c r="G526"/>
  <c r="G527"/>
  <c r="G528"/>
  <c r="G529"/>
  <c r="G530"/>
  <c r="G531"/>
  <c r="G532"/>
  <c r="G533"/>
  <c r="G534"/>
  <c r="G535"/>
  <c r="G536"/>
  <c r="G537"/>
  <c r="G538"/>
  <c r="G539"/>
  <c r="G540"/>
  <c r="G541"/>
  <c r="G542"/>
  <c r="G3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313"/>
  <c r="G314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338"/>
  <c r="G339"/>
  <c r="G340"/>
  <c r="G341"/>
  <c r="G342"/>
  <c r="G343"/>
  <c r="G344"/>
  <c r="G345"/>
  <c r="G346"/>
  <c r="G347"/>
  <c r="G348"/>
  <c r="G349"/>
  <c r="G350"/>
  <c r="G351"/>
  <c r="G352"/>
  <c r="G353"/>
  <c r="G354"/>
  <c r="G355"/>
  <c r="G356"/>
  <c r="G357"/>
  <c r="G358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376"/>
  <c r="G377"/>
  <c r="G378"/>
  <c r="G379"/>
  <c r="G380"/>
  <c r="G381"/>
  <c r="G382"/>
  <c r="G383"/>
  <c r="G384"/>
  <c r="G385"/>
  <c r="G386"/>
  <c r="G387"/>
  <c r="G388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412"/>
  <c r="G413"/>
  <c r="G414"/>
  <c r="G415"/>
  <c r="G416"/>
  <c r="G417"/>
  <c r="G418"/>
  <c r="G419"/>
  <c r="G420"/>
  <c r="G421"/>
  <c r="G422"/>
  <c r="G423"/>
  <c r="G424"/>
  <c r="G425"/>
  <c r="G426"/>
  <c r="G427"/>
  <c r="G428"/>
  <c r="G429"/>
  <c r="G430"/>
  <c r="G431"/>
  <c r="G432"/>
  <c r="G433"/>
  <c r="G434"/>
  <c r="G435"/>
  <c r="G436"/>
  <c r="G437"/>
  <c r="G438"/>
  <c r="G439"/>
  <c r="G440"/>
  <c r="G441"/>
  <c r="G442"/>
  <c r="G443"/>
  <c r="G444"/>
  <c r="G445"/>
  <c r="G446"/>
  <c r="G447"/>
  <c r="G448"/>
  <c r="G449"/>
  <c r="G450"/>
  <c r="G451"/>
  <c r="G452"/>
  <c r="G453"/>
  <c r="G454"/>
  <c r="G455"/>
  <c r="G456"/>
  <c r="G457"/>
  <c r="G458"/>
  <c r="G459"/>
  <c r="G460"/>
  <c r="G461"/>
  <c r="G462"/>
  <c r="G463"/>
  <c r="G464"/>
  <c r="G465"/>
  <c r="G466"/>
  <c r="G467"/>
  <c r="G468"/>
  <c r="G469"/>
  <c r="G470"/>
  <c r="G471"/>
  <c r="G472"/>
  <c r="G473"/>
  <c r="G474"/>
  <c r="G475"/>
  <c r="G476"/>
  <c r="G477"/>
  <c r="G478"/>
  <c r="G479"/>
  <c r="G480"/>
  <c r="G481"/>
  <c r="G482"/>
  <c r="G483"/>
  <c r="G484"/>
  <c r="G485"/>
  <c r="G486"/>
  <c r="G487"/>
  <c r="G488"/>
  <c r="G489"/>
  <c r="G490"/>
  <c r="G491"/>
  <c r="G492"/>
  <c r="G493"/>
  <c r="G494"/>
  <c r="G495"/>
  <c r="G496"/>
  <c r="G497"/>
  <c r="G498"/>
  <c r="G499"/>
  <c r="G500"/>
  <c r="G501"/>
  <c r="G502"/>
  <c r="G503"/>
  <c r="G504"/>
  <c r="G505"/>
  <c r="G506"/>
  <c r="G507"/>
  <c r="G508"/>
  <c r="G509"/>
  <c r="G510"/>
  <c r="G511"/>
  <c r="G512"/>
  <c r="G513"/>
  <c r="G514"/>
  <c r="G2"/>
  <c r="E554" l="1"/>
  <c r="N20"/>
  <c r="N244"/>
  <c r="N44"/>
  <c r="N116"/>
  <c r="N505"/>
  <c r="N488"/>
  <c r="N361"/>
  <c r="N299"/>
  <c r="N436"/>
  <c r="N332"/>
  <c r="N380"/>
  <c r="N444"/>
  <c r="N364"/>
  <c r="N340"/>
  <c r="N156"/>
  <c r="N292"/>
  <c r="N404"/>
  <c r="N300"/>
  <c r="N413"/>
  <c r="N371"/>
  <c r="N353"/>
  <c r="N291"/>
  <c r="N275"/>
  <c r="N258"/>
  <c r="N172"/>
  <c r="N92"/>
  <c r="N423"/>
  <c r="N210"/>
  <c r="N492"/>
  <c r="N12"/>
  <c r="N316"/>
  <c r="N204"/>
  <c r="N450"/>
  <c r="N382"/>
  <c r="N373"/>
  <c r="N242"/>
  <c r="N218"/>
  <c r="N150"/>
  <c r="N467"/>
  <c r="N442"/>
  <c r="N433"/>
  <c r="N357"/>
  <c r="N330"/>
  <c r="N304"/>
  <c r="N286"/>
  <c r="N278"/>
  <c r="N270"/>
  <c r="N253"/>
  <c r="N219"/>
  <c r="N194"/>
  <c r="N178"/>
  <c r="N143"/>
  <c r="N93"/>
  <c r="N252"/>
  <c r="N268"/>
  <c r="N124"/>
  <c r="N67"/>
  <c r="N59"/>
  <c r="N42"/>
  <c r="N510"/>
  <c r="N443"/>
  <c r="N434"/>
  <c r="N400"/>
  <c r="N349"/>
  <c r="N279"/>
  <c r="N254"/>
  <c r="N203"/>
  <c r="N195"/>
  <c r="N144"/>
  <c r="N110"/>
  <c r="N19"/>
  <c r="N324"/>
  <c r="N164"/>
  <c r="N418"/>
  <c r="N280"/>
  <c r="N86"/>
  <c r="E594"/>
  <c r="E562"/>
  <c r="E578"/>
  <c r="E546"/>
  <c r="E585"/>
  <c r="E553"/>
  <c r="E521"/>
  <c r="E544"/>
  <c r="E541"/>
  <c r="E547"/>
  <c r="E567"/>
  <c r="E605"/>
  <c r="E580"/>
  <c r="E558"/>
  <c r="E539"/>
  <c r="E515"/>
  <c r="E586"/>
  <c r="E522"/>
  <c r="E552"/>
  <c r="F601"/>
  <c r="F586"/>
  <c r="F584"/>
  <c r="F569"/>
  <c r="F565"/>
  <c r="F554"/>
  <c r="F552"/>
  <c r="F537"/>
  <c r="F522"/>
  <c r="F520"/>
  <c r="E550"/>
  <c r="E583"/>
  <c r="E523"/>
  <c r="E581"/>
  <c r="E563"/>
  <c r="E540"/>
  <c r="E516"/>
  <c r="E593"/>
  <c r="E561"/>
  <c r="E529"/>
  <c r="E560"/>
  <c r="E565"/>
  <c r="E591"/>
  <c r="E524"/>
  <c r="E582"/>
  <c r="E564"/>
  <c r="E542"/>
  <c r="E518"/>
  <c r="E530"/>
  <c r="E568"/>
  <c r="F594"/>
  <c r="F592"/>
  <c r="F577"/>
  <c r="F562"/>
  <c r="F560"/>
  <c r="F545"/>
  <c r="F530"/>
  <c r="F528"/>
  <c r="E566"/>
  <c r="E596"/>
  <c r="E526"/>
  <c r="E587"/>
  <c r="E571"/>
  <c r="E543"/>
  <c r="E531"/>
  <c r="E601"/>
  <c r="E569"/>
  <c r="E537"/>
  <c r="E576"/>
  <c r="E520"/>
  <c r="F575"/>
  <c r="F543"/>
  <c r="E575"/>
  <c r="E598"/>
  <c r="E527"/>
  <c r="E588"/>
  <c r="E572"/>
  <c r="E549"/>
  <c r="E532"/>
  <c r="E602"/>
  <c r="E570"/>
  <c r="E538"/>
  <c r="E584"/>
  <c r="E525"/>
  <c r="F602"/>
  <c r="F600"/>
  <c r="F585"/>
  <c r="F570"/>
  <c r="F568"/>
  <c r="F553"/>
  <c r="F549"/>
  <c r="F538"/>
  <c r="F536"/>
  <c r="F521"/>
  <c r="E589"/>
  <c r="E599"/>
  <c r="E548"/>
  <c r="E595"/>
  <c r="E573"/>
  <c r="E555"/>
  <c r="E533"/>
  <c r="E577"/>
  <c r="E545"/>
  <c r="E592"/>
  <c r="E528"/>
  <c r="E590"/>
  <c r="E597"/>
  <c r="E607"/>
  <c r="E551"/>
  <c r="E603"/>
  <c r="E574"/>
  <c r="E556"/>
  <c r="E534"/>
  <c r="E600"/>
  <c r="E536"/>
  <c r="F593"/>
  <c r="F578"/>
  <c r="F576"/>
  <c r="F561"/>
  <c r="F557"/>
  <c r="F546"/>
  <c r="F544"/>
  <c r="F529"/>
  <c r="E517"/>
  <c r="E606"/>
  <c r="E519"/>
  <c r="E559"/>
  <c r="E604"/>
  <c r="E579"/>
  <c r="E557"/>
  <c r="E535"/>
  <c r="F567"/>
  <c r="F566"/>
  <c r="F519"/>
  <c r="F591"/>
  <c r="F574"/>
  <c r="F527"/>
  <c r="F598"/>
  <c r="F558"/>
  <c r="F550"/>
  <c r="F534"/>
  <c r="F607"/>
  <c r="F599"/>
  <c r="F583"/>
  <c r="F559"/>
  <c r="F551"/>
  <c r="F535"/>
  <c r="F605"/>
  <c r="F597"/>
  <c r="F589"/>
  <c r="F581"/>
  <c r="F573"/>
  <c r="F541"/>
  <c r="F533"/>
  <c r="F525"/>
  <c r="F517"/>
  <c r="F555"/>
  <c r="F606"/>
  <c r="F590"/>
  <c r="F582"/>
  <c r="F542"/>
  <c r="F526"/>
  <c r="F518"/>
  <c r="F603"/>
  <c r="F595"/>
  <c r="F587"/>
  <c r="F579"/>
  <c r="F571"/>
  <c r="F563"/>
  <c r="F547"/>
  <c r="F539"/>
  <c r="F531"/>
  <c r="F523"/>
  <c r="F604"/>
  <c r="F596"/>
  <c r="F588"/>
  <c r="F580"/>
  <c r="F572"/>
  <c r="F564"/>
  <c r="F556"/>
  <c r="F548"/>
  <c r="F540"/>
  <c r="F532"/>
  <c r="F524"/>
  <c r="F516"/>
  <c r="F515"/>
  <c r="F3" l="1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501"/>
  <c r="F502"/>
  <c r="F503"/>
  <c r="F504"/>
  <c r="F505"/>
  <c r="F506"/>
  <c r="F507"/>
  <c r="F508"/>
  <c r="F509"/>
  <c r="F510"/>
  <c r="F511"/>
  <c r="F512"/>
  <c r="F513"/>
  <c r="F514"/>
  <c r="C3"/>
  <c r="B3" s="1"/>
  <c r="D3"/>
  <c r="E3" s="1"/>
  <c r="C4"/>
  <c r="B4" s="1"/>
  <c r="D4"/>
  <c r="E4" s="1"/>
  <c r="C5"/>
  <c r="B5" s="1"/>
  <c r="D5"/>
  <c r="E5" s="1"/>
  <c r="C6"/>
  <c r="B6" s="1"/>
  <c r="D6"/>
  <c r="E6" s="1"/>
  <c r="C7"/>
  <c r="B7" s="1"/>
  <c r="D7"/>
  <c r="E7" s="1"/>
  <c r="C8"/>
  <c r="B8" s="1"/>
  <c r="D8"/>
  <c r="E8" s="1"/>
  <c r="C9"/>
  <c r="B9" s="1"/>
  <c r="D9"/>
  <c r="E9" s="1"/>
  <c r="C10"/>
  <c r="B10" s="1"/>
  <c r="D10"/>
  <c r="E10" s="1"/>
  <c r="C11"/>
  <c r="B11" s="1"/>
  <c r="D11"/>
  <c r="E11" s="1"/>
  <c r="C12"/>
  <c r="B12" s="1"/>
  <c r="D12"/>
  <c r="E12" s="1"/>
  <c r="C13"/>
  <c r="B13" s="1"/>
  <c r="D13"/>
  <c r="E13" s="1"/>
  <c r="C14"/>
  <c r="B14" s="1"/>
  <c r="D14"/>
  <c r="E14" s="1"/>
  <c r="C15"/>
  <c r="B15" s="1"/>
  <c r="D15"/>
  <c r="E15" s="1"/>
  <c r="C16"/>
  <c r="B16" s="1"/>
  <c r="D16"/>
  <c r="E16" s="1"/>
  <c r="C17"/>
  <c r="B17" s="1"/>
  <c r="D17"/>
  <c r="E17" s="1"/>
  <c r="C18"/>
  <c r="B18" s="1"/>
  <c r="D18"/>
  <c r="E18" s="1"/>
  <c r="C19"/>
  <c r="B19" s="1"/>
  <c r="D19"/>
  <c r="E19" s="1"/>
  <c r="C20"/>
  <c r="B20" s="1"/>
  <c r="D20"/>
  <c r="E20" s="1"/>
  <c r="C21"/>
  <c r="B21" s="1"/>
  <c r="D21"/>
  <c r="E21" s="1"/>
  <c r="C22"/>
  <c r="B22" s="1"/>
  <c r="D22"/>
  <c r="E22" s="1"/>
  <c r="C23"/>
  <c r="B23" s="1"/>
  <c r="D23"/>
  <c r="E23" s="1"/>
  <c r="C24"/>
  <c r="B24" s="1"/>
  <c r="D24"/>
  <c r="E24" s="1"/>
  <c r="C25"/>
  <c r="B25" s="1"/>
  <c r="D25"/>
  <c r="E25" s="1"/>
  <c r="C26"/>
  <c r="B26" s="1"/>
  <c r="D26"/>
  <c r="E26" s="1"/>
  <c r="C27"/>
  <c r="B27" s="1"/>
  <c r="D27"/>
  <c r="E27" s="1"/>
  <c r="C28"/>
  <c r="B28" s="1"/>
  <c r="D28"/>
  <c r="E28" s="1"/>
  <c r="C29"/>
  <c r="B29" s="1"/>
  <c r="D29"/>
  <c r="E29" s="1"/>
  <c r="C30"/>
  <c r="B30" s="1"/>
  <c r="D30"/>
  <c r="E30" s="1"/>
  <c r="C31"/>
  <c r="B31" s="1"/>
  <c r="D31"/>
  <c r="E31" s="1"/>
  <c r="C32"/>
  <c r="B32" s="1"/>
  <c r="D32"/>
  <c r="E32" s="1"/>
  <c r="C33"/>
  <c r="B33" s="1"/>
  <c r="D33"/>
  <c r="E33" s="1"/>
  <c r="C34"/>
  <c r="B34" s="1"/>
  <c r="D34"/>
  <c r="E34" s="1"/>
  <c r="C35"/>
  <c r="B35" s="1"/>
  <c r="D35"/>
  <c r="E35" s="1"/>
  <c r="C36"/>
  <c r="B36" s="1"/>
  <c r="D36"/>
  <c r="E36" s="1"/>
  <c r="C37"/>
  <c r="B37" s="1"/>
  <c r="D37"/>
  <c r="E37" s="1"/>
  <c r="C38"/>
  <c r="B38" s="1"/>
  <c r="D38"/>
  <c r="E38" s="1"/>
  <c r="C39"/>
  <c r="B39" s="1"/>
  <c r="D39"/>
  <c r="E39" s="1"/>
  <c r="C40"/>
  <c r="B40" s="1"/>
  <c r="D40"/>
  <c r="E40" s="1"/>
  <c r="C41"/>
  <c r="B41" s="1"/>
  <c r="D41"/>
  <c r="E41" s="1"/>
  <c r="C42"/>
  <c r="B42" s="1"/>
  <c r="D42"/>
  <c r="E42" s="1"/>
  <c r="C43"/>
  <c r="B43" s="1"/>
  <c r="D43"/>
  <c r="E43" s="1"/>
  <c r="C44"/>
  <c r="B44" s="1"/>
  <c r="D44"/>
  <c r="E44" s="1"/>
  <c r="C45"/>
  <c r="B45" s="1"/>
  <c r="D45"/>
  <c r="E45" s="1"/>
  <c r="C46"/>
  <c r="B46" s="1"/>
  <c r="D46"/>
  <c r="E46" s="1"/>
  <c r="C47"/>
  <c r="B47" s="1"/>
  <c r="D47"/>
  <c r="E47" s="1"/>
  <c r="C48"/>
  <c r="B48" s="1"/>
  <c r="D48"/>
  <c r="E48" s="1"/>
  <c r="C49"/>
  <c r="B49" s="1"/>
  <c r="D49"/>
  <c r="E49" s="1"/>
  <c r="C50"/>
  <c r="B50" s="1"/>
  <c r="D50"/>
  <c r="E50" s="1"/>
  <c r="C51"/>
  <c r="B51" s="1"/>
  <c r="D51"/>
  <c r="E51" s="1"/>
  <c r="C52"/>
  <c r="B52" s="1"/>
  <c r="D52"/>
  <c r="E52" s="1"/>
  <c r="C53"/>
  <c r="B53" s="1"/>
  <c r="D53"/>
  <c r="E53" s="1"/>
  <c r="C54"/>
  <c r="B54" s="1"/>
  <c r="D54"/>
  <c r="E54" s="1"/>
  <c r="C55"/>
  <c r="B55" s="1"/>
  <c r="D55"/>
  <c r="E55" s="1"/>
  <c r="C56"/>
  <c r="B56" s="1"/>
  <c r="D56"/>
  <c r="E56" s="1"/>
  <c r="C57"/>
  <c r="B57" s="1"/>
  <c r="D57"/>
  <c r="E57" s="1"/>
  <c r="C58"/>
  <c r="B58" s="1"/>
  <c r="D58"/>
  <c r="E58" s="1"/>
  <c r="C59"/>
  <c r="B59" s="1"/>
  <c r="D59"/>
  <c r="E59" s="1"/>
  <c r="C60"/>
  <c r="B60" s="1"/>
  <c r="D60"/>
  <c r="E60" s="1"/>
  <c r="C61"/>
  <c r="B61" s="1"/>
  <c r="D61"/>
  <c r="E61" s="1"/>
  <c r="C62"/>
  <c r="B62" s="1"/>
  <c r="D62"/>
  <c r="E62" s="1"/>
  <c r="C63"/>
  <c r="B63" s="1"/>
  <c r="D63"/>
  <c r="E63" s="1"/>
  <c r="C64"/>
  <c r="B64" s="1"/>
  <c r="D64"/>
  <c r="E64" s="1"/>
  <c r="C65"/>
  <c r="B65" s="1"/>
  <c r="D65"/>
  <c r="E65" s="1"/>
  <c r="C66"/>
  <c r="B66" s="1"/>
  <c r="D66"/>
  <c r="E66" s="1"/>
  <c r="C67"/>
  <c r="B67" s="1"/>
  <c r="D67"/>
  <c r="E67" s="1"/>
  <c r="C68"/>
  <c r="B68" s="1"/>
  <c r="D68"/>
  <c r="E68" s="1"/>
  <c r="C69"/>
  <c r="B69" s="1"/>
  <c r="D69"/>
  <c r="E69" s="1"/>
  <c r="C70"/>
  <c r="B70" s="1"/>
  <c r="D70"/>
  <c r="E70" s="1"/>
  <c r="C71"/>
  <c r="B71" s="1"/>
  <c r="D71"/>
  <c r="E71" s="1"/>
  <c r="C72"/>
  <c r="B72" s="1"/>
  <c r="D72"/>
  <c r="E72" s="1"/>
  <c r="C73"/>
  <c r="B73" s="1"/>
  <c r="D73"/>
  <c r="E73" s="1"/>
  <c r="C74"/>
  <c r="B74" s="1"/>
  <c r="D74"/>
  <c r="E74" s="1"/>
  <c r="C75"/>
  <c r="B75" s="1"/>
  <c r="D75"/>
  <c r="E75" s="1"/>
  <c r="C76"/>
  <c r="B76" s="1"/>
  <c r="D76"/>
  <c r="E76" s="1"/>
  <c r="C77"/>
  <c r="B77" s="1"/>
  <c r="D77"/>
  <c r="E77" s="1"/>
  <c r="C78"/>
  <c r="B78" s="1"/>
  <c r="D78"/>
  <c r="E78" s="1"/>
  <c r="C79"/>
  <c r="B79" s="1"/>
  <c r="D79"/>
  <c r="E79" s="1"/>
  <c r="C80"/>
  <c r="B80" s="1"/>
  <c r="D80"/>
  <c r="E80" s="1"/>
  <c r="C81"/>
  <c r="B81" s="1"/>
  <c r="D81"/>
  <c r="E81" s="1"/>
  <c r="C82"/>
  <c r="B82" s="1"/>
  <c r="D82"/>
  <c r="E82" s="1"/>
  <c r="C83"/>
  <c r="B83" s="1"/>
  <c r="D83"/>
  <c r="E83" s="1"/>
  <c r="C84"/>
  <c r="B84" s="1"/>
  <c r="D84"/>
  <c r="E84" s="1"/>
  <c r="C85"/>
  <c r="B85" s="1"/>
  <c r="D85"/>
  <c r="E85" s="1"/>
  <c r="C86"/>
  <c r="B86" s="1"/>
  <c r="D86"/>
  <c r="E86" s="1"/>
  <c r="C87"/>
  <c r="B87" s="1"/>
  <c r="D87"/>
  <c r="E87" s="1"/>
  <c r="C88"/>
  <c r="B88" s="1"/>
  <c r="D88"/>
  <c r="E88" s="1"/>
  <c r="C89"/>
  <c r="B89" s="1"/>
  <c r="D89"/>
  <c r="E89" s="1"/>
  <c r="C90"/>
  <c r="B90" s="1"/>
  <c r="D90"/>
  <c r="E90" s="1"/>
  <c r="C91"/>
  <c r="B91" s="1"/>
  <c r="D91"/>
  <c r="E91" s="1"/>
  <c r="C92"/>
  <c r="B92" s="1"/>
  <c r="D92"/>
  <c r="E92" s="1"/>
  <c r="C93"/>
  <c r="B93" s="1"/>
  <c r="D93"/>
  <c r="E93" s="1"/>
  <c r="C94"/>
  <c r="B94" s="1"/>
  <c r="D94"/>
  <c r="E94" s="1"/>
  <c r="C95"/>
  <c r="B95" s="1"/>
  <c r="D95"/>
  <c r="E95" s="1"/>
  <c r="C96"/>
  <c r="B96" s="1"/>
  <c r="D96"/>
  <c r="E96" s="1"/>
  <c r="C97"/>
  <c r="B97" s="1"/>
  <c r="D97"/>
  <c r="E97" s="1"/>
  <c r="C98"/>
  <c r="B98" s="1"/>
  <c r="D98"/>
  <c r="E98" s="1"/>
  <c r="C99"/>
  <c r="B99" s="1"/>
  <c r="D99"/>
  <c r="E99" s="1"/>
  <c r="C100"/>
  <c r="B100" s="1"/>
  <c r="D100"/>
  <c r="E100" s="1"/>
  <c r="C101"/>
  <c r="B101" s="1"/>
  <c r="D101"/>
  <c r="E101" s="1"/>
  <c r="C102"/>
  <c r="B102" s="1"/>
  <c r="D102"/>
  <c r="E102" s="1"/>
  <c r="C103"/>
  <c r="B103" s="1"/>
  <c r="D103"/>
  <c r="E103" s="1"/>
  <c r="C104"/>
  <c r="B104" s="1"/>
  <c r="D104"/>
  <c r="E104" s="1"/>
  <c r="C105"/>
  <c r="B105" s="1"/>
  <c r="D105"/>
  <c r="E105" s="1"/>
  <c r="C106"/>
  <c r="B106" s="1"/>
  <c r="D106"/>
  <c r="E106" s="1"/>
  <c r="C107"/>
  <c r="B107" s="1"/>
  <c r="D107"/>
  <c r="E107" s="1"/>
  <c r="C108"/>
  <c r="B108" s="1"/>
  <c r="D108"/>
  <c r="E108" s="1"/>
  <c r="C109"/>
  <c r="B109" s="1"/>
  <c r="D109"/>
  <c r="E109" s="1"/>
  <c r="C110"/>
  <c r="B110" s="1"/>
  <c r="D110"/>
  <c r="E110" s="1"/>
  <c r="C111"/>
  <c r="B111" s="1"/>
  <c r="D111"/>
  <c r="E111" s="1"/>
  <c r="C112"/>
  <c r="B112" s="1"/>
  <c r="D112"/>
  <c r="E112" s="1"/>
  <c r="C113"/>
  <c r="B113" s="1"/>
  <c r="D113"/>
  <c r="E113" s="1"/>
  <c r="C114"/>
  <c r="B114" s="1"/>
  <c r="D114"/>
  <c r="E114" s="1"/>
  <c r="C115"/>
  <c r="B115" s="1"/>
  <c r="D115"/>
  <c r="E115" s="1"/>
  <c r="C116"/>
  <c r="B116" s="1"/>
  <c r="D116"/>
  <c r="E116" s="1"/>
  <c r="C117"/>
  <c r="B117" s="1"/>
  <c r="D117"/>
  <c r="E117" s="1"/>
  <c r="C118"/>
  <c r="B118" s="1"/>
  <c r="D118"/>
  <c r="E118" s="1"/>
  <c r="C119"/>
  <c r="B119" s="1"/>
  <c r="D119"/>
  <c r="E119" s="1"/>
  <c r="C120"/>
  <c r="B120" s="1"/>
  <c r="D120"/>
  <c r="E120" s="1"/>
  <c r="C121"/>
  <c r="B121" s="1"/>
  <c r="D121"/>
  <c r="E121" s="1"/>
  <c r="C122"/>
  <c r="B122" s="1"/>
  <c r="D122"/>
  <c r="E122" s="1"/>
  <c r="C123"/>
  <c r="B123" s="1"/>
  <c r="D123"/>
  <c r="E123" s="1"/>
  <c r="C124"/>
  <c r="B124" s="1"/>
  <c r="D124"/>
  <c r="E124" s="1"/>
  <c r="C125"/>
  <c r="B125" s="1"/>
  <c r="D125"/>
  <c r="E125" s="1"/>
  <c r="C126"/>
  <c r="B126" s="1"/>
  <c r="D126"/>
  <c r="E126" s="1"/>
  <c r="C127"/>
  <c r="B127" s="1"/>
  <c r="D127"/>
  <c r="E127" s="1"/>
  <c r="C128"/>
  <c r="B128" s="1"/>
  <c r="D128"/>
  <c r="E128" s="1"/>
  <c r="C129"/>
  <c r="B129" s="1"/>
  <c r="D129"/>
  <c r="E129" s="1"/>
  <c r="C130"/>
  <c r="B130" s="1"/>
  <c r="D130"/>
  <c r="E130" s="1"/>
  <c r="C131"/>
  <c r="B131" s="1"/>
  <c r="D131"/>
  <c r="E131" s="1"/>
  <c r="C132"/>
  <c r="B132" s="1"/>
  <c r="D132"/>
  <c r="E132" s="1"/>
  <c r="C133"/>
  <c r="B133" s="1"/>
  <c r="D133"/>
  <c r="E133" s="1"/>
  <c r="C134"/>
  <c r="B134" s="1"/>
  <c r="D134"/>
  <c r="E134" s="1"/>
  <c r="C135"/>
  <c r="B135" s="1"/>
  <c r="D135"/>
  <c r="E135" s="1"/>
  <c r="C136"/>
  <c r="B136" s="1"/>
  <c r="D136"/>
  <c r="E136" s="1"/>
  <c r="C137"/>
  <c r="B137" s="1"/>
  <c r="D137"/>
  <c r="E137" s="1"/>
  <c r="C138"/>
  <c r="B138" s="1"/>
  <c r="D138"/>
  <c r="E138" s="1"/>
  <c r="C139"/>
  <c r="B139" s="1"/>
  <c r="D139"/>
  <c r="E139" s="1"/>
  <c r="C140"/>
  <c r="B140" s="1"/>
  <c r="D140"/>
  <c r="E140" s="1"/>
  <c r="C141"/>
  <c r="B141" s="1"/>
  <c r="D141"/>
  <c r="E141" s="1"/>
  <c r="C142"/>
  <c r="B142" s="1"/>
  <c r="D142"/>
  <c r="E142" s="1"/>
  <c r="C143"/>
  <c r="B143" s="1"/>
  <c r="D143"/>
  <c r="E143" s="1"/>
  <c r="C144"/>
  <c r="B144" s="1"/>
  <c r="D144"/>
  <c r="E144" s="1"/>
  <c r="C145"/>
  <c r="B145" s="1"/>
  <c r="D145"/>
  <c r="E145" s="1"/>
  <c r="C146"/>
  <c r="B146" s="1"/>
  <c r="D146"/>
  <c r="E146" s="1"/>
  <c r="C147"/>
  <c r="B147" s="1"/>
  <c r="D147"/>
  <c r="E147" s="1"/>
  <c r="C148"/>
  <c r="B148" s="1"/>
  <c r="D148"/>
  <c r="E148" s="1"/>
  <c r="C149"/>
  <c r="B149" s="1"/>
  <c r="D149"/>
  <c r="E149" s="1"/>
  <c r="C150"/>
  <c r="B150" s="1"/>
  <c r="D150"/>
  <c r="E150" s="1"/>
  <c r="C151"/>
  <c r="B151" s="1"/>
  <c r="D151"/>
  <c r="E151" s="1"/>
  <c r="C152"/>
  <c r="B152" s="1"/>
  <c r="D152"/>
  <c r="E152" s="1"/>
  <c r="C153"/>
  <c r="B153" s="1"/>
  <c r="D153"/>
  <c r="E153" s="1"/>
  <c r="C154"/>
  <c r="B154" s="1"/>
  <c r="D154"/>
  <c r="E154" s="1"/>
  <c r="C155"/>
  <c r="B155" s="1"/>
  <c r="D155"/>
  <c r="E155" s="1"/>
  <c r="C156"/>
  <c r="B156" s="1"/>
  <c r="D156"/>
  <c r="E156" s="1"/>
  <c r="C157"/>
  <c r="B157" s="1"/>
  <c r="D157"/>
  <c r="E157" s="1"/>
  <c r="C158"/>
  <c r="B158" s="1"/>
  <c r="D158"/>
  <c r="E158" s="1"/>
  <c r="C159"/>
  <c r="B159" s="1"/>
  <c r="D159"/>
  <c r="E159" s="1"/>
  <c r="C160"/>
  <c r="B160" s="1"/>
  <c r="D160"/>
  <c r="E160" s="1"/>
  <c r="C161"/>
  <c r="B161" s="1"/>
  <c r="D161"/>
  <c r="E161" s="1"/>
  <c r="C162"/>
  <c r="B162" s="1"/>
  <c r="D162"/>
  <c r="E162" s="1"/>
  <c r="C163"/>
  <c r="B163" s="1"/>
  <c r="D163"/>
  <c r="E163" s="1"/>
  <c r="C164"/>
  <c r="B164" s="1"/>
  <c r="D164"/>
  <c r="E164" s="1"/>
  <c r="C165"/>
  <c r="B165" s="1"/>
  <c r="D165"/>
  <c r="E165" s="1"/>
  <c r="C166"/>
  <c r="B166" s="1"/>
  <c r="D166"/>
  <c r="E166" s="1"/>
  <c r="C167"/>
  <c r="B167" s="1"/>
  <c r="D167"/>
  <c r="E167" s="1"/>
  <c r="C168"/>
  <c r="B168" s="1"/>
  <c r="D168"/>
  <c r="E168" s="1"/>
  <c r="C169"/>
  <c r="B169" s="1"/>
  <c r="D169"/>
  <c r="E169" s="1"/>
  <c r="C170"/>
  <c r="B170" s="1"/>
  <c r="D170"/>
  <c r="E170" s="1"/>
  <c r="C171"/>
  <c r="B171" s="1"/>
  <c r="D171"/>
  <c r="E171" s="1"/>
  <c r="C172"/>
  <c r="B172" s="1"/>
  <c r="D172"/>
  <c r="E172" s="1"/>
  <c r="C173"/>
  <c r="B173" s="1"/>
  <c r="D173"/>
  <c r="E173" s="1"/>
  <c r="C174"/>
  <c r="B174" s="1"/>
  <c r="D174"/>
  <c r="E174" s="1"/>
  <c r="C175"/>
  <c r="B175" s="1"/>
  <c r="D175"/>
  <c r="E175" s="1"/>
  <c r="C176"/>
  <c r="B176" s="1"/>
  <c r="D176"/>
  <c r="E176" s="1"/>
  <c r="C177"/>
  <c r="B177" s="1"/>
  <c r="D177"/>
  <c r="E177" s="1"/>
  <c r="C178"/>
  <c r="B178" s="1"/>
  <c r="D178"/>
  <c r="E178" s="1"/>
  <c r="C179"/>
  <c r="B179" s="1"/>
  <c r="D179"/>
  <c r="E179" s="1"/>
  <c r="C180"/>
  <c r="B180" s="1"/>
  <c r="D180"/>
  <c r="E180" s="1"/>
  <c r="C181"/>
  <c r="B181" s="1"/>
  <c r="D181"/>
  <c r="E181" s="1"/>
  <c r="C182"/>
  <c r="B182" s="1"/>
  <c r="D182"/>
  <c r="E182" s="1"/>
  <c r="C183"/>
  <c r="B183" s="1"/>
  <c r="D183"/>
  <c r="E183" s="1"/>
  <c r="C184"/>
  <c r="B184" s="1"/>
  <c r="D184"/>
  <c r="E184" s="1"/>
  <c r="C185"/>
  <c r="B185" s="1"/>
  <c r="D185"/>
  <c r="E185" s="1"/>
  <c r="C186"/>
  <c r="B186" s="1"/>
  <c r="D186"/>
  <c r="E186" s="1"/>
  <c r="C187"/>
  <c r="B187" s="1"/>
  <c r="D187"/>
  <c r="E187" s="1"/>
  <c r="C188"/>
  <c r="B188" s="1"/>
  <c r="D188"/>
  <c r="E188" s="1"/>
  <c r="C189"/>
  <c r="B189" s="1"/>
  <c r="D189"/>
  <c r="E189" s="1"/>
  <c r="C190"/>
  <c r="B190" s="1"/>
  <c r="D190"/>
  <c r="E190" s="1"/>
  <c r="C191"/>
  <c r="B191" s="1"/>
  <c r="D191"/>
  <c r="E191" s="1"/>
  <c r="C192"/>
  <c r="B192" s="1"/>
  <c r="D192"/>
  <c r="E192" s="1"/>
  <c r="C193"/>
  <c r="B193" s="1"/>
  <c r="D193"/>
  <c r="E193" s="1"/>
  <c r="C194"/>
  <c r="B194" s="1"/>
  <c r="D194"/>
  <c r="E194" s="1"/>
  <c r="C195"/>
  <c r="B195" s="1"/>
  <c r="D195"/>
  <c r="E195" s="1"/>
  <c r="C196"/>
  <c r="B196" s="1"/>
  <c r="D196"/>
  <c r="E196" s="1"/>
  <c r="C197"/>
  <c r="B197" s="1"/>
  <c r="D197"/>
  <c r="E197" s="1"/>
  <c r="C198"/>
  <c r="B198" s="1"/>
  <c r="D198"/>
  <c r="E198" s="1"/>
  <c r="C199"/>
  <c r="B199" s="1"/>
  <c r="D199"/>
  <c r="E199" s="1"/>
  <c r="C200"/>
  <c r="B200" s="1"/>
  <c r="D200"/>
  <c r="E200" s="1"/>
  <c r="C201"/>
  <c r="B201" s="1"/>
  <c r="D201"/>
  <c r="E201" s="1"/>
  <c r="C202"/>
  <c r="B202" s="1"/>
  <c r="D202"/>
  <c r="E202" s="1"/>
  <c r="C203"/>
  <c r="B203" s="1"/>
  <c r="D203"/>
  <c r="E203" s="1"/>
  <c r="C204"/>
  <c r="B204" s="1"/>
  <c r="D204"/>
  <c r="E204" s="1"/>
  <c r="C205"/>
  <c r="B205" s="1"/>
  <c r="D205"/>
  <c r="E205" s="1"/>
  <c r="C206"/>
  <c r="B206" s="1"/>
  <c r="D206"/>
  <c r="E206" s="1"/>
  <c r="C207"/>
  <c r="B207" s="1"/>
  <c r="D207"/>
  <c r="E207" s="1"/>
  <c r="C208"/>
  <c r="B208" s="1"/>
  <c r="D208"/>
  <c r="E208" s="1"/>
  <c r="C209"/>
  <c r="B209" s="1"/>
  <c r="D209"/>
  <c r="E209" s="1"/>
  <c r="C210"/>
  <c r="B210" s="1"/>
  <c r="D210"/>
  <c r="E210" s="1"/>
  <c r="C211"/>
  <c r="B211" s="1"/>
  <c r="D211"/>
  <c r="E211" s="1"/>
  <c r="C212"/>
  <c r="B212" s="1"/>
  <c r="D212"/>
  <c r="E212" s="1"/>
  <c r="C213"/>
  <c r="B213" s="1"/>
  <c r="D213"/>
  <c r="E213" s="1"/>
  <c r="C214"/>
  <c r="B214" s="1"/>
  <c r="D214"/>
  <c r="E214" s="1"/>
  <c r="C215"/>
  <c r="B215" s="1"/>
  <c r="D215"/>
  <c r="E215" s="1"/>
  <c r="C216"/>
  <c r="B216" s="1"/>
  <c r="D216"/>
  <c r="E216" s="1"/>
  <c r="C217"/>
  <c r="B217" s="1"/>
  <c r="D217"/>
  <c r="E217" s="1"/>
  <c r="C218"/>
  <c r="B218" s="1"/>
  <c r="D218"/>
  <c r="E218" s="1"/>
  <c r="C219"/>
  <c r="B219" s="1"/>
  <c r="D219"/>
  <c r="E219" s="1"/>
  <c r="C220"/>
  <c r="B220" s="1"/>
  <c r="D220"/>
  <c r="E220" s="1"/>
  <c r="C221"/>
  <c r="B221" s="1"/>
  <c r="D221"/>
  <c r="E221" s="1"/>
  <c r="C222"/>
  <c r="B222" s="1"/>
  <c r="D222"/>
  <c r="E222" s="1"/>
  <c r="C223"/>
  <c r="B223" s="1"/>
  <c r="D223"/>
  <c r="E223" s="1"/>
  <c r="C224"/>
  <c r="B224" s="1"/>
  <c r="D224"/>
  <c r="E224" s="1"/>
  <c r="C225"/>
  <c r="B225" s="1"/>
  <c r="D225"/>
  <c r="E225" s="1"/>
  <c r="C226"/>
  <c r="B226" s="1"/>
  <c r="D226"/>
  <c r="E226" s="1"/>
  <c r="C227"/>
  <c r="B227" s="1"/>
  <c r="D227"/>
  <c r="E227" s="1"/>
  <c r="C228"/>
  <c r="B228" s="1"/>
  <c r="D228"/>
  <c r="E228" s="1"/>
  <c r="C229"/>
  <c r="B229" s="1"/>
  <c r="D229"/>
  <c r="E229" s="1"/>
  <c r="C230"/>
  <c r="B230" s="1"/>
  <c r="D230"/>
  <c r="E230" s="1"/>
  <c r="C231"/>
  <c r="B231" s="1"/>
  <c r="D231"/>
  <c r="E231" s="1"/>
  <c r="C232"/>
  <c r="B232" s="1"/>
  <c r="D232"/>
  <c r="E232" s="1"/>
  <c r="C233"/>
  <c r="B233" s="1"/>
  <c r="D233"/>
  <c r="E233" s="1"/>
  <c r="C234"/>
  <c r="B234" s="1"/>
  <c r="D234"/>
  <c r="E234" s="1"/>
  <c r="C235"/>
  <c r="B235" s="1"/>
  <c r="D235"/>
  <c r="E235" s="1"/>
  <c r="C236"/>
  <c r="B236" s="1"/>
  <c r="D236"/>
  <c r="E236" s="1"/>
  <c r="C237"/>
  <c r="B237" s="1"/>
  <c r="D237"/>
  <c r="E237" s="1"/>
  <c r="C238"/>
  <c r="B238" s="1"/>
  <c r="D238"/>
  <c r="E238" s="1"/>
  <c r="C239"/>
  <c r="B239" s="1"/>
  <c r="D239"/>
  <c r="E239" s="1"/>
  <c r="C240"/>
  <c r="B240" s="1"/>
  <c r="D240"/>
  <c r="E240" s="1"/>
  <c r="C241"/>
  <c r="B241" s="1"/>
  <c r="D241"/>
  <c r="E241" s="1"/>
  <c r="C242"/>
  <c r="B242" s="1"/>
  <c r="D242"/>
  <c r="E242" s="1"/>
  <c r="C243"/>
  <c r="B243" s="1"/>
  <c r="D243"/>
  <c r="E243" s="1"/>
  <c r="C244"/>
  <c r="B244" s="1"/>
  <c r="D244"/>
  <c r="E244" s="1"/>
  <c r="C245"/>
  <c r="B245" s="1"/>
  <c r="D245"/>
  <c r="E245" s="1"/>
  <c r="C246"/>
  <c r="B246" s="1"/>
  <c r="D246"/>
  <c r="E246" s="1"/>
  <c r="C247"/>
  <c r="B247" s="1"/>
  <c r="D247"/>
  <c r="E247" s="1"/>
  <c r="C248"/>
  <c r="B248" s="1"/>
  <c r="D248"/>
  <c r="E248" s="1"/>
  <c r="C249"/>
  <c r="B249" s="1"/>
  <c r="D249"/>
  <c r="E249" s="1"/>
  <c r="C250"/>
  <c r="B250" s="1"/>
  <c r="D250"/>
  <c r="E250" s="1"/>
  <c r="C251"/>
  <c r="B251" s="1"/>
  <c r="D251"/>
  <c r="E251" s="1"/>
  <c r="C252"/>
  <c r="B252" s="1"/>
  <c r="D252"/>
  <c r="E252" s="1"/>
  <c r="C253"/>
  <c r="B253" s="1"/>
  <c r="D253"/>
  <c r="E253" s="1"/>
  <c r="C254"/>
  <c r="B254" s="1"/>
  <c r="D254"/>
  <c r="E254" s="1"/>
  <c r="C255"/>
  <c r="B255" s="1"/>
  <c r="D255"/>
  <c r="E255" s="1"/>
  <c r="C256"/>
  <c r="B256" s="1"/>
  <c r="D256"/>
  <c r="E256" s="1"/>
  <c r="C257"/>
  <c r="B257" s="1"/>
  <c r="D257"/>
  <c r="E257" s="1"/>
  <c r="C258"/>
  <c r="B258" s="1"/>
  <c r="D258"/>
  <c r="E258" s="1"/>
  <c r="C259"/>
  <c r="B259" s="1"/>
  <c r="D259"/>
  <c r="E259" s="1"/>
  <c r="C260"/>
  <c r="B260" s="1"/>
  <c r="D260"/>
  <c r="E260" s="1"/>
  <c r="C261"/>
  <c r="B261" s="1"/>
  <c r="D261"/>
  <c r="E261" s="1"/>
  <c r="C262"/>
  <c r="B262" s="1"/>
  <c r="D262"/>
  <c r="E262" s="1"/>
  <c r="C263"/>
  <c r="B263" s="1"/>
  <c r="D263"/>
  <c r="E263" s="1"/>
  <c r="C264"/>
  <c r="B264" s="1"/>
  <c r="D264"/>
  <c r="E264" s="1"/>
  <c r="C265"/>
  <c r="B265" s="1"/>
  <c r="D265"/>
  <c r="E265" s="1"/>
  <c r="C266"/>
  <c r="B266" s="1"/>
  <c r="D266"/>
  <c r="E266" s="1"/>
  <c r="C267"/>
  <c r="B267" s="1"/>
  <c r="D267"/>
  <c r="E267" s="1"/>
  <c r="C268"/>
  <c r="B268" s="1"/>
  <c r="D268"/>
  <c r="E268" s="1"/>
  <c r="C269"/>
  <c r="B269" s="1"/>
  <c r="D269"/>
  <c r="E269" s="1"/>
  <c r="C270"/>
  <c r="B270" s="1"/>
  <c r="D270"/>
  <c r="E270" s="1"/>
  <c r="C271"/>
  <c r="B271" s="1"/>
  <c r="D271"/>
  <c r="E271" s="1"/>
  <c r="C272"/>
  <c r="B272" s="1"/>
  <c r="D272"/>
  <c r="E272" s="1"/>
  <c r="C273"/>
  <c r="B273" s="1"/>
  <c r="D273"/>
  <c r="E273" s="1"/>
  <c r="C274"/>
  <c r="B274" s="1"/>
  <c r="D274"/>
  <c r="E274" s="1"/>
  <c r="C275"/>
  <c r="B275" s="1"/>
  <c r="D275"/>
  <c r="E275" s="1"/>
  <c r="C276"/>
  <c r="B276" s="1"/>
  <c r="D276"/>
  <c r="E276" s="1"/>
  <c r="C277"/>
  <c r="B277" s="1"/>
  <c r="D277"/>
  <c r="E277" s="1"/>
  <c r="C278"/>
  <c r="B278" s="1"/>
  <c r="D278"/>
  <c r="E278" s="1"/>
  <c r="C279"/>
  <c r="B279" s="1"/>
  <c r="D279"/>
  <c r="E279" s="1"/>
  <c r="C280"/>
  <c r="B280" s="1"/>
  <c r="D280"/>
  <c r="E280" s="1"/>
  <c r="C281"/>
  <c r="B281" s="1"/>
  <c r="D281"/>
  <c r="E281" s="1"/>
  <c r="C282"/>
  <c r="B282" s="1"/>
  <c r="D282"/>
  <c r="E282" s="1"/>
  <c r="C283"/>
  <c r="B283" s="1"/>
  <c r="D283"/>
  <c r="E283" s="1"/>
  <c r="C284"/>
  <c r="B284" s="1"/>
  <c r="D284"/>
  <c r="E284" s="1"/>
  <c r="C285"/>
  <c r="B285" s="1"/>
  <c r="D285"/>
  <c r="E285" s="1"/>
  <c r="C286"/>
  <c r="B286" s="1"/>
  <c r="D286"/>
  <c r="E286" s="1"/>
  <c r="C287"/>
  <c r="B287" s="1"/>
  <c r="D287"/>
  <c r="E287" s="1"/>
  <c r="C288"/>
  <c r="B288" s="1"/>
  <c r="D288"/>
  <c r="E288" s="1"/>
  <c r="C289"/>
  <c r="B289" s="1"/>
  <c r="D289"/>
  <c r="E289" s="1"/>
  <c r="C290"/>
  <c r="B290" s="1"/>
  <c r="D290"/>
  <c r="E290" s="1"/>
  <c r="C291"/>
  <c r="B291" s="1"/>
  <c r="D291"/>
  <c r="E291" s="1"/>
  <c r="C292"/>
  <c r="B292" s="1"/>
  <c r="D292"/>
  <c r="E292" s="1"/>
  <c r="C293"/>
  <c r="B293" s="1"/>
  <c r="D293"/>
  <c r="E293" s="1"/>
  <c r="C294"/>
  <c r="B294" s="1"/>
  <c r="D294"/>
  <c r="E294" s="1"/>
  <c r="C295"/>
  <c r="B295" s="1"/>
  <c r="D295"/>
  <c r="E295" s="1"/>
  <c r="C296"/>
  <c r="B296" s="1"/>
  <c r="D296"/>
  <c r="E296" s="1"/>
  <c r="C297"/>
  <c r="B297" s="1"/>
  <c r="D297"/>
  <c r="E297" s="1"/>
  <c r="C298"/>
  <c r="B298" s="1"/>
  <c r="D298"/>
  <c r="E298" s="1"/>
  <c r="C299"/>
  <c r="B299" s="1"/>
  <c r="D299"/>
  <c r="E299" s="1"/>
  <c r="C300"/>
  <c r="B300" s="1"/>
  <c r="D300"/>
  <c r="E300" s="1"/>
  <c r="C301"/>
  <c r="B301" s="1"/>
  <c r="D301"/>
  <c r="E301" s="1"/>
  <c r="C302"/>
  <c r="B302" s="1"/>
  <c r="D302"/>
  <c r="E302" s="1"/>
  <c r="C303"/>
  <c r="B303" s="1"/>
  <c r="D303"/>
  <c r="E303" s="1"/>
  <c r="C304"/>
  <c r="B304" s="1"/>
  <c r="D304"/>
  <c r="E304" s="1"/>
  <c r="C305"/>
  <c r="B305" s="1"/>
  <c r="D305"/>
  <c r="E305" s="1"/>
  <c r="C306"/>
  <c r="B306" s="1"/>
  <c r="D306"/>
  <c r="E306" s="1"/>
  <c r="C307"/>
  <c r="B307" s="1"/>
  <c r="D307"/>
  <c r="E307" s="1"/>
  <c r="C308"/>
  <c r="B308" s="1"/>
  <c r="D308"/>
  <c r="E308" s="1"/>
  <c r="C309"/>
  <c r="B309" s="1"/>
  <c r="D309"/>
  <c r="E309" s="1"/>
  <c r="C310"/>
  <c r="B310" s="1"/>
  <c r="D310"/>
  <c r="E310" s="1"/>
  <c r="C311"/>
  <c r="B311" s="1"/>
  <c r="D311"/>
  <c r="E311" s="1"/>
  <c r="C312"/>
  <c r="B312" s="1"/>
  <c r="D312"/>
  <c r="E312" s="1"/>
  <c r="C313"/>
  <c r="B313" s="1"/>
  <c r="D313"/>
  <c r="E313" s="1"/>
  <c r="C314"/>
  <c r="B314" s="1"/>
  <c r="D314"/>
  <c r="E314" s="1"/>
  <c r="C315"/>
  <c r="B315" s="1"/>
  <c r="D315"/>
  <c r="E315" s="1"/>
  <c r="C316"/>
  <c r="B316" s="1"/>
  <c r="D316"/>
  <c r="E316" s="1"/>
  <c r="C317"/>
  <c r="B317" s="1"/>
  <c r="D317"/>
  <c r="E317" s="1"/>
  <c r="C318"/>
  <c r="B318" s="1"/>
  <c r="D318"/>
  <c r="E318" s="1"/>
  <c r="C319"/>
  <c r="B319" s="1"/>
  <c r="D319"/>
  <c r="E319" s="1"/>
  <c r="C320"/>
  <c r="B320" s="1"/>
  <c r="D320"/>
  <c r="E320" s="1"/>
  <c r="C321"/>
  <c r="B321" s="1"/>
  <c r="D321"/>
  <c r="E321" s="1"/>
  <c r="C322"/>
  <c r="B322" s="1"/>
  <c r="D322"/>
  <c r="E322" s="1"/>
  <c r="C323"/>
  <c r="B323" s="1"/>
  <c r="D323"/>
  <c r="E323" s="1"/>
  <c r="C324"/>
  <c r="B324" s="1"/>
  <c r="D324"/>
  <c r="E324" s="1"/>
  <c r="C325"/>
  <c r="B325" s="1"/>
  <c r="D325"/>
  <c r="E325" s="1"/>
  <c r="C326"/>
  <c r="B326" s="1"/>
  <c r="D326"/>
  <c r="E326" s="1"/>
  <c r="C327"/>
  <c r="B327" s="1"/>
  <c r="D327"/>
  <c r="E327" s="1"/>
  <c r="C328"/>
  <c r="B328" s="1"/>
  <c r="D328"/>
  <c r="E328" s="1"/>
  <c r="C329"/>
  <c r="B329" s="1"/>
  <c r="D329"/>
  <c r="E329" s="1"/>
  <c r="C330"/>
  <c r="B330" s="1"/>
  <c r="D330"/>
  <c r="E330" s="1"/>
  <c r="C331"/>
  <c r="B331" s="1"/>
  <c r="D331"/>
  <c r="E331" s="1"/>
  <c r="C332"/>
  <c r="B332" s="1"/>
  <c r="D332"/>
  <c r="E332" s="1"/>
  <c r="C333"/>
  <c r="B333" s="1"/>
  <c r="D333"/>
  <c r="E333" s="1"/>
  <c r="C334"/>
  <c r="B334" s="1"/>
  <c r="D334"/>
  <c r="E334" s="1"/>
  <c r="C335"/>
  <c r="B335" s="1"/>
  <c r="D335"/>
  <c r="E335" s="1"/>
  <c r="C336"/>
  <c r="B336" s="1"/>
  <c r="D336"/>
  <c r="E336" s="1"/>
  <c r="C337"/>
  <c r="B337" s="1"/>
  <c r="D337"/>
  <c r="E337" s="1"/>
  <c r="C338"/>
  <c r="B338" s="1"/>
  <c r="D338"/>
  <c r="E338" s="1"/>
  <c r="C339"/>
  <c r="B339" s="1"/>
  <c r="D339"/>
  <c r="E339" s="1"/>
  <c r="C340"/>
  <c r="B340" s="1"/>
  <c r="D340"/>
  <c r="E340" s="1"/>
  <c r="C341"/>
  <c r="B341" s="1"/>
  <c r="D341"/>
  <c r="E341" s="1"/>
  <c r="C342"/>
  <c r="B342" s="1"/>
  <c r="D342"/>
  <c r="E342" s="1"/>
  <c r="C343"/>
  <c r="B343" s="1"/>
  <c r="D343"/>
  <c r="E343" s="1"/>
  <c r="C344"/>
  <c r="B344" s="1"/>
  <c r="D344"/>
  <c r="E344" s="1"/>
  <c r="C345"/>
  <c r="B345" s="1"/>
  <c r="D345"/>
  <c r="E345" s="1"/>
  <c r="C346"/>
  <c r="B346" s="1"/>
  <c r="D346"/>
  <c r="E346" s="1"/>
  <c r="C347"/>
  <c r="B347" s="1"/>
  <c r="D347"/>
  <c r="E347" s="1"/>
  <c r="C348"/>
  <c r="B348" s="1"/>
  <c r="D348"/>
  <c r="E348" s="1"/>
  <c r="C349"/>
  <c r="B349" s="1"/>
  <c r="D349"/>
  <c r="E349" s="1"/>
  <c r="C350"/>
  <c r="B350" s="1"/>
  <c r="D350"/>
  <c r="E350" s="1"/>
  <c r="C351"/>
  <c r="B351" s="1"/>
  <c r="D351"/>
  <c r="E351" s="1"/>
  <c r="C352"/>
  <c r="B352" s="1"/>
  <c r="D352"/>
  <c r="E352" s="1"/>
  <c r="C353"/>
  <c r="B353" s="1"/>
  <c r="D353"/>
  <c r="E353" s="1"/>
  <c r="C354"/>
  <c r="B354" s="1"/>
  <c r="D354"/>
  <c r="E354" s="1"/>
  <c r="C355"/>
  <c r="B355" s="1"/>
  <c r="D355"/>
  <c r="E355" s="1"/>
  <c r="C356"/>
  <c r="B356" s="1"/>
  <c r="D356"/>
  <c r="E356" s="1"/>
  <c r="C357"/>
  <c r="B357" s="1"/>
  <c r="D357"/>
  <c r="E357" s="1"/>
  <c r="C358"/>
  <c r="B358" s="1"/>
  <c r="D358"/>
  <c r="E358" s="1"/>
  <c r="C359"/>
  <c r="B359" s="1"/>
  <c r="D359"/>
  <c r="E359" s="1"/>
  <c r="C360"/>
  <c r="B360" s="1"/>
  <c r="D360"/>
  <c r="E360" s="1"/>
  <c r="C361"/>
  <c r="B361" s="1"/>
  <c r="D361"/>
  <c r="E361" s="1"/>
  <c r="C362"/>
  <c r="B362" s="1"/>
  <c r="D362"/>
  <c r="E362" s="1"/>
  <c r="C363"/>
  <c r="B363" s="1"/>
  <c r="D363"/>
  <c r="E363" s="1"/>
  <c r="C364"/>
  <c r="B364" s="1"/>
  <c r="D364"/>
  <c r="E364" s="1"/>
  <c r="C365"/>
  <c r="B365" s="1"/>
  <c r="D365"/>
  <c r="E365" s="1"/>
  <c r="C366"/>
  <c r="B366" s="1"/>
  <c r="D366"/>
  <c r="E366" s="1"/>
  <c r="C367"/>
  <c r="B367" s="1"/>
  <c r="D367"/>
  <c r="E367" s="1"/>
  <c r="C368"/>
  <c r="B368" s="1"/>
  <c r="D368"/>
  <c r="E368" s="1"/>
  <c r="C369"/>
  <c r="B369" s="1"/>
  <c r="D369"/>
  <c r="E369" s="1"/>
  <c r="C370"/>
  <c r="B370" s="1"/>
  <c r="D370"/>
  <c r="E370" s="1"/>
  <c r="C371"/>
  <c r="B371" s="1"/>
  <c r="D371"/>
  <c r="E371" s="1"/>
  <c r="C372"/>
  <c r="B372" s="1"/>
  <c r="D372"/>
  <c r="E372" s="1"/>
  <c r="C373"/>
  <c r="B373" s="1"/>
  <c r="D373"/>
  <c r="E373" s="1"/>
  <c r="C374"/>
  <c r="B374" s="1"/>
  <c r="D374"/>
  <c r="E374" s="1"/>
  <c r="C375"/>
  <c r="B375" s="1"/>
  <c r="D375"/>
  <c r="E375" s="1"/>
  <c r="C376"/>
  <c r="B376" s="1"/>
  <c r="D376"/>
  <c r="E376" s="1"/>
  <c r="C377"/>
  <c r="B377" s="1"/>
  <c r="D377"/>
  <c r="E377" s="1"/>
  <c r="C378"/>
  <c r="B378" s="1"/>
  <c r="D378"/>
  <c r="E378" s="1"/>
  <c r="C379"/>
  <c r="B379" s="1"/>
  <c r="D379"/>
  <c r="E379" s="1"/>
  <c r="C380"/>
  <c r="B380" s="1"/>
  <c r="D380"/>
  <c r="E380" s="1"/>
  <c r="C381"/>
  <c r="B381" s="1"/>
  <c r="D381"/>
  <c r="E381" s="1"/>
  <c r="C382"/>
  <c r="B382" s="1"/>
  <c r="D382"/>
  <c r="E382" s="1"/>
  <c r="C383"/>
  <c r="B383" s="1"/>
  <c r="D383"/>
  <c r="E383" s="1"/>
  <c r="C384"/>
  <c r="B384" s="1"/>
  <c r="D384"/>
  <c r="E384" s="1"/>
  <c r="C385"/>
  <c r="B385" s="1"/>
  <c r="D385"/>
  <c r="E385" s="1"/>
  <c r="C386"/>
  <c r="B386" s="1"/>
  <c r="D386"/>
  <c r="E386" s="1"/>
  <c r="C387"/>
  <c r="B387" s="1"/>
  <c r="D387"/>
  <c r="E387" s="1"/>
  <c r="C388"/>
  <c r="B388" s="1"/>
  <c r="D388"/>
  <c r="E388" s="1"/>
  <c r="C389"/>
  <c r="B389" s="1"/>
  <c r="D389"/>
  <c r="E389" s="1"/>
  <c r="C390"/>
  <c r="B390" s="1"/>
  <c r="D390"/>
  <c r="E390" s="1"/>
  <c r="C391"/>
  <c r="B391" s="1"/>
  <c r="D391"/>
  <c r="E391" s="1"/>
  <c r="C392"/>
  <c r="B392" s="1"/>
  <c r="D392"/>
  <c r="E392" s="1"/>
  <c r="C393"/>
  <c r="B393" s="1"/>
  <c r="D393"/>
  <c r="E393" s="1"/>
  <c r="C394"/>
  <c r="B394" s="1"/>
  <c r="D394"/>
  <c r="E394" s="1"/>
  <c r="C395"/>
  <c r="B395" s="1"/>
  <c r="D395"/>
  <c r="E395" s="1"/>
  <c r="C396"/>
  <c r="B396" s="1"/>
  <c r="D396"/>
  <c r="E396" s="1"/>
  <c r="C397"/>
  <c r="B397" s="1"/>
  <c r="D397"/>
  <c r="E397" s="1"/>
  <c r="C398"/>
  <c r="B398" s="1"/>
  <c r="D398"/>
  <c r="E398" s="1"/>
  <c r="C399"/>
  <c r="B399" s="1"/>
  <c r="D399"/>
  <c r="E399" s="1"/>
  <c r="C400"/>
  <c r="B400" s="1"/>
  <c r="D400"/>
  <c r="E400" s="1"/>
  <c r="C401"/>
  <c r="B401" s="1"/>
  <c r="D401"/>
  <c r="E401" s="1"/>
  <c r="C402"/>
  <c r="B402" s="1"/>
  <c r="D402"/>
  <c r="E402" s="1"/>
  <c r="C403"/>
  <c r="B403" s="1"/>
  <c r="D403"/>
  <c r="E403" s="1"/>
  <c r="C404"/>
  <c r="B404" s="1"/>
  <c r="D404"/>
  <c r="E404" s="1"/>
  <c r="C405"/>
  <c r="B405" s="1"/>
  <c r="D405"/>
  <c r="E405" s="1"/>
  <c r="C406"/>
  <c r="B406" s="1"/>
  <c r="D406"/>
  <c r="E406" s="1"/>
  <c r="C407"/>
  <c r="B407" s="1"/>
  <c r="D407"/>
  <c r="E407" s="1"/>
  <c r="C408"/>
  <c r="B408" s="1"/>
  <c r="D408"/>
  <c r="E408" s="1"/>
  <c r="C409"/>
  <c r="B409" s="1"/>
  <c r="D409"/>
  <c r="E409" s="1"/>
  <c r="C410"/>
  <c r="B410" s="1"/>
  <c r="D410"/>
  <c r="E410" s="1"/>
  <c r="C411"/>
  <c r="B411" s="1"/>
  <c r="D411"/>
  <c r="E411" s="1"/>
  <c r="C412"/>
  <c r="B412" s="1"/>
  <c r="D412"/>
  <c r="E412" s="1"/>
  <c r="C413"/>
  <c r="B413" s="1"/>
  <c r="D413"/>
  <c r="E413" s="1"/>
  <c r="C414"/>
  <c r="B414" s="1"/>
  <c r="D414"/>
  <c r="E414" s="1"/>
  <c r="C415"/>
  <c r="B415" s="1"/>
  <c r="D415"/>
  <c r="E415" s="1"/>
  <c r="C416"/>
  <c r="B416" s="1"/>
  <c r="D416"/>
  <c r="E416" s="1"/>
  <c r="C417"/>
  <c r="B417" s="1"/>
  <c r="D417"/>
  <c r="E417" s="1"/>
  <c r="C418"/>
  <c r="B418" s="1"/>
  <c r="D418"/>
  <c r="E418" s="1"/>
  <c r="C419"/>
  <c r="B419" s="1"/>
  <c r="D419"/>
  <c r="E419" s="1"/>
  <c r="C420"/>
  <c r="B420" s="1"/>
  <c r="D420"/>
  <c r="E420" s="1"/>
  <c r="C421"/>
  <c r="B421" s="1"/>
  <c r="D421"/>
  <c r="E421" s="1"/>
  <c r="C422"/>
  <c r="B422" s="1"/>
  <c r="D422"/>
  <c r="E422" s="1"/>
  <c r="C423"/>
  <c r="B423" s="1"/>
  <c r="D423"/>
  <c r="E423" s="1"/>
  <c r="C424"/>
  <c r="B424" s="1"/>
  <c r="D424"/>
  <c r="E424" s="1"/>
  <c r="C425"/>
  <c r="B425" s="1"/>
  <c r="D425"/>
  <c r="E425" s="1"/>
  <c r="C426"/>
  <c r="B426" s="1"/>
  <c r="D426"/>
  <c r="E426" s="1"/>
  <c r="C427"/>
  <c r="B427" s="1"/>
  <c r="D427"/>
  <c r="E427" s="1"/>
  <c r="C428"/>
  <c r="B428" s="1"/>
  <c r="D428"/>
  <c r="E428" s="1"/>
  <c r="C429"/>
  <c r="B429" s="1"/>
  <c r="D429"/>
  <c r="E429" s="1"/>
  <c r="C430"/>
  <c r="B430" s="1"/>
  <c r="D430"/>
  <c r="E430" s="1"/>
  <c r="C431"/>
  <c r="B431" s="1"/>
  <c r="D431"/>
  <c r="E431" s="1"/>
  <c r="C432"/>
  <c r="B432" s="1"/>
  <c r="D432"/>
  <c r="E432" s="1"/>
  <c r="C433"/>
  <c r="B433" s="1"/>
  <c r="D433"/>
  <c r="E433" s="1"/>
  <c r="C434"/>
  <c r="B434" s="1"/>
  <c r="D434"/>
  <c r="E434" s="1"/>
  <c r="C435"/>
  <c r="B435" s="1"/>
  <c r="D435"/>
  <c r="E435" s="1"/>
  <c r="C436"/>
  <c r="B436" s="1"/>
  <c r="D436"/>
  <c r="E436" s="1"/>
  <c r="C437"/>
  <c r="B437" s="1"/>
  <c r="D437"/>
  <c r="E437" s="1"/>
  <c r="C438"/>
  <c r="B438" s="1"/>
  <c r="D438"/>
  <c r="E438" s="1"/>
  <c r="C439"/>
  <c r="B439" s="1"/>
  <c r="D439"/>
  <c r="E439" s="1"/>
  <c r="C440"/>
  <c r="B440" s="1"/>
  <c r="D440"/>
  <c r="E440" s="1"/>
  <c r="C441"/>
  <c r="B441" s="1"/>
  <c r="D441"/>
  <c r="E441" s="1"/>
  <c r="C442"/>
  <c r="B442" s="1"/>
  <c r="D442"/>
  <c r="E442" s="1"/>
  <c r="C443"/>
  <c r="B443" s="1"/>
  <c r="D443"/>
  <c r="E443" s="1"/>
  <c r="C444"/>
  <c r="B444" s="1"/>
  <c r="D444"/>
  <c r="E444" s="1"/>
  <c r="C445"/>
  <c r="B445" s="1"/>
  <c r="D445"/>
  <c r="E445" s="1"/>
  <c r="C446"/>
  <c r="B446" s="1"/>
  <c r="D446"/>
  <c r="E446" s="1"/>
  <c r="C447"/>
  <c r="B447" s="1"/>
  <c r="D447"/>
  <c r="E447" s="1"/>
  <c r="C448"/>
  <c r="B448" s="1"/>
  <c r="D448"/>
  <c r="E448" s="1"/>
  <c r="C449"/>
  <c r="B449" s="1"/>
  <c r="D449"/>
  <c r="E449" s="1"/>
  <c r="C450"/>
  <c r="B450" s="1"/>
  <c r="D450"/>
  <c r="E450" s="1"/>
  <c r="C451"/>
  <c r="B451" s="1"/>
  <c r="D451"/>
  <c r="E451" s="1"/>
  <c r="C452"/>
  <c r="B452" s="1"/>
  <c r="D452"/>
  <c r="E452" s="1"/>
  <c r="C453"/>
  <c r="B453" s="1"/>
  <c r="D453"/>
  <c r="E453" s="1"/>
  <c r="C454"/>
  <c r="B454" s="1"/>
  <c r="D454"/>
  <c r="E454" s="1"/>
  <c r="C455"/>
  <c r="B455" s="1"/>
  <c r="D455"/>
  <c r="E455" s="1"/>
  <c r="C456"/>
  <c r="B456" s="1"/>
  <c r="D456"/>
  <c r="E456" s="1"/>
  <c r="C457"/>
  <c r="B457" s="1"/>
  <c r="D457"/>
  <c r="E457" s="1"/>
  <c r="C458"/>
  <c r="B458" s="1"/>
  <c r="D458"/>
  <c r="E458" s="1"/>
  <c r="C459"/>
  <c r="B459" s="1"/>
  <c r="D459"/>
  <c r="E459" s="1"/>
  <c r="C460"/>
  <c r="B460" s="1"/>
  <c r="D460"/>
  <c r="E460" s="1"/>
  <c r="C461"/>
  <c r="B461" s="1"/>
  <c r="D461"/>
  <c r="E461" s="1"/>
  <c r="C462"/>
  <c r="B462" s="1"/>
  <c r="D462"/>
  <c r="E462" s="1"/>
  <c r="C463"/>
  <c r="B463" s="1"/>
  <c r="D463"/>
  <c r="E463" s="1"/>
  <c r="C464"/>
  <c r="B464" s="1"/>
  <c r="D464"/>
  <c r="E464" s="1"/>
  <c r="C465"/>
  <c r="B465" s="1"/>
  <c r="D465"/>
  <c r="E465" s="1"/>
  <c r="C466"/>
  <c r="B466" s="1"/>
  <c r="D466"/>
  <c r="E466" s="1"/>
  <c r="C467"/>
  <c r="B467" s="1"/>
  <c r="D467"/>
  <c r="E467" s="1"/>
  <c r="C468"/>
  <c r="B468" s="1"/>
  <c r="D468"/>
  <c r="E468" s="1"/>
  <c r="C469"/>
  <c r="B469" s="1"/>
  <c r="D469"/>
  <c r="E469" s="1"/>
  <c r="C470"/>
  <c r="B470" s="1"/>
  <c r="D470"/>
  <c r="E470" s="1"/>
  <c r="C471"/>
  <c r="B471" s="1"/>
  <c r="D471"/>
  <c r="E471" s="1"/>
  <c r="C472"/>
  <c r="B472" s="1"/>
  <c r="D472"/>
  <c r="E472" s="1"/>
  <c r="C473"/>
  <c r="B473" s="1"/>
  <c r="D473"/>
  <c r="E473" s="1"/>
  <c r="C474"/>
  <c r="B474" s="1"/>
  <c r="D474"/>
  <c r="E474" s="1"/>
  <c r="C475"/>
  <c r="B475" s="1"/>
  <c r="D475"/>
  <c r="E475" s="1"/>
  <c r="C476"/>
  <c r="B476" s="1"/>
  <c r="D476"/>
  <c r="E476" s="1"/>
  <c r="C477"/>
  <c r="B477" s="1"/>
  <c r="D477"/>
  <c r="E477" s="1"/>
  <c r="C478"/>
  <c r="B478" s="1"/>
  <c r="D478"/>
  <c r="E478" s="1"/>
  <c r="C479"/>
  <c r="B479" s="1"/>
  <c r="D479"/>
  <c r="E479" s="1"/>
  <c r="C480"/>
  <c r="B480" s="1"/>
  <c r="D480"/>
  <c r="E480" s="1"/>
  <c r="C481"/>
  <c r="B481" s="1"/>
  <c r="D481"/>
  <c r="E481" s="1"/>
  <c r="C482"/>
  <c r="B482" s="1"/>
  <c r="D482"/>
  <c r="E482" s="1"/>
  <c r="C483"/>
  <c r="B483" s="1"/>
  <c r="D483"/>
  <c r="E483" s="1"/>
  <c r="C484"/>
  <c r="B484" s="1"/>
  <c r="D484"/>
  <c r="E484" s="1"/>
  <c r="C485"/>
  <c r="B485" s="1"/>
  <c r="D485"/>
  <c r="E485" s="1"/>
  <c r="C486"/>
  <c r="B486" s="1"/>
  <c r="D486"/>
  <c r="E486" s="1"/>
  <c r="C487"/>
  <c r="B487" s="1"/>
  <c r="D487"/>
  <c r="E487" s="1"/>
  <c r="C488"/>
  <c r="B488" s="1"/>
  <c r="D488"/>
  <c r="E488" s="1"/>
  <c r="C489"/>
  <c r="B489" s="1"/>
  <c r="D489"/>
  <c r="E489" s="1"/>
  <c r="C490"/>
  <c r="B490" s="1"/>
  <c r="D490"/>
  <c r="E490" s="1"/>
  <c r="C491"/>
  <c r="B491" s="1"/>
  <c r="D491"/>
  <c r="E491" s="1"/>
  <c r="C492"/>
  <c r="B492" s="1"/>
  <c r="D492"/>
  <c r="E492" s="1"/>
  <c r="C493"/>
  <c r="B493" s="1"/>
  <c r="D493"/>
  <c r="E493" s="1"/>
  <c r="C494"/>
  <c r="B494" s="1"/>
  <c r="D494"/>
  <c r="E494" s="1"/>
  <c r="C495"/>
  <c r="B495" s="1"/>
  <c r="D495"/>
  <c r="E495" s="1"/>
  <c r="C496"/>
  <c r="B496" s="1"/>
  <c r="D496"/>
  <c r="E496" s="1"/>
  <c r="C497"/>
  <c r="B497" s="1"/>
  <c r="D497"/>
  <c r="E497" s="1"/>
  <c r="C498"/>
  <c r="B498" s="1"/>
  <c r="D498"/>
  <c r="E498" s="1"/>
  <c r="C499"/>
  <c r="B499" s="1"/>
  <c r="D499"/>
  <c r="E499" s="1"/>
  <c r="C500"/>
  <c r="B500" s="1"/>
  <c r="D500"/>
  <c r="E500" s="1"/>
  <c r="C501"/>
  <c r="B501" s="1"/>
  <c r="D501"/>
  <c r="E501" s="1"/>
  <c r="C502"/>
  <c r="B502" s="1"/>
  <c r="D502"/>
  <c r="E502" s="1"/>
  <c r="C503"/>
  <c r="B503" s="1"/>
  <c r="D503"/>
  <c r="E503" s="1"/>
  <c r="C504"/>
  <c r="B504" s="1"/>
  <c r="D504"/>
  <c r="E504" s="1"/>
  <c r="C505"/>
  <c r="B505" s="1"/>
  <c r="D505"/>
  <c r="E505" s="1"/>
  <c r="C506"/>
  <c r="B506" s="1"/>
  <c r="D506"/>
  <c r="E506" s="1"/>
  <c r="C507"/>
  <c r="B507" s="1"/>
  <c r="D507"/>
  <c r="E507" s="1"/>
  <c r="C508"/>
  <c r="B508" s="1"/>
  <c r="D508"/>
  <c r="E508" s="1"/>
  <c r="C509"/>
  <c r="B509" s="1"/>
  <c r="D509"/>
  <c r="E509" s="1"/>
  <c r="C510"/>
  <c r="B510" s="1"/>
  <c r="D510"/>
  <c r="E510" s="1"/>
  <c r="C511"/>
  <c r="B511" s="1"/>
  <c r="D511"/>
  <c r="E511" s="1"/>
  <c r="C512"/>
  <c r="B512" s="1"/>
  <c r="D512"/>
  <c r="E512" s="1"/>
  <c r="C513"/>
  <c r="B513" s="1"/>
  <c r="D513"/>
  <c r="E513" s="1"/>
  <c r="C514"/>
  <c r="B514" s="1"/>
  <c r="D514"/>
  <c r="E514" s="1"/>
  <c r="Q2" l="1"/>
  <c r="F2" s="1"/>
  <c r="D2" l="1"/>
  <c r="C2"/>
  <c r="B2" s="1"/>
  <c r="E2" l="1"/>
</calcChain>
</file>

<file path=xl/sharedStrings.xml><?xml version="1.0" encoding="utf-8"?>
<sst xmlns="http://schemas.openxmlformats.org/spreadsheetml/2006/main" count="640" uniqueCount="450">
  <si>
    <t>Part Number</t>
  </si>
  <si>
    <t>PLISN</t>
  </si>
  <si>
    <t>Indenture</t>
  </si>
  <si>
    <t>Expand/Drag</t>
  </si>
  <si>
    <t>Description</t>
  </si>
  <si>
    <t>MMPV TYPE II CPD 3.8</t>
  </si>
  <si>
    <t>12574288</t>
  </si>
  <si>
    <t>MIL-001-080</t>
  </si>
  <si>
    <t>MIL-001-396</t>
  </si>
  <si>
    <t>MIL-001-498</t>
  </si>
  <si>
    <t>MIL-001-499</t>
  </si>
  <si>
    <t>MIL-001-067</t>
  </si>
  <si>
    <t>MIL-001-533</t>
  </si>
  <si>
    <t>MIL-001-1075</t>
  </si>
  <si>
    <t>MIL-001-1076</t>
  </si>
  <si>
    <t>MIL-001-1077</t>
  </si>
  <si>
    <t>MIL-001-1078</t>
  </si>
  <si>
    <t>MIL-001-1080</t>
  </si>
  <si>
    <t>GB415</t>
  </si>
  <si>
    <t>GW442</t>
  </si>
  <si>
    <t>MIL-001-1083</t>
  </si>
  <si>
    <t>MIL-001-1084</t>
  </si>
  <si>
    <t>MIL-001-1085</t>
  </si>
  <si>
    <t>MIL-001-1086</t>
  </si>
  <si>
    <t>MIL-001-489</t>
  </si>
  <si>
    <t>V1593</t>
  </si>
  <si>
    <t>RP201</t>
  </si>
  <si>
    <t>90576A115</t>
  </si>
  <si>
    <t>NI946</t>
  </si>
  <si>
    <t>RS967</t>
  </si>
  <si>
    <t>RV906</t>
  </si>
  <si>
    <t>MIL-001-540</t>
  </si>
  <si>
    <t>MIL-001-541</t>
  </si>
  <si>
    <t>MIL-001-542</t>
  </si>
  <si>
    <t>RR808</t>
  </si>
  <si>
    <t>TA737</t>
  </si>
  <si>
    <t>IN845</t>
  </si>
  <si>
    <t>MIL-001-491</t>
  </si>
  <si>
    <t>MIL-001-068</t>
  </si>
  <si>
    <t>MIL-001-492</t>
  </si>
  <si>
    <t>MIL-001-1089</t>
  </si>
  <si>
    <t>MIL-001-1090</t>
  </si>
  <si>
    <t>MIL-001-1091</t>
  </si>
  <si>
    <t>MIL-001-1092</t>
  </si>
  <si>
    <t>MIL-001-1093</t>
  </si>
  <si>
    <t>MIL-001-1094</t>
  </si>
  <si>
    <t>MIL-001-1095</t>
  </si>
  <si>
    <t>MIL-001-1097</t>
  </si>
  <si>
    <t>MIL-001-546</t>
  </si>
  <si>
    <t>91455A160</t>
  </si>
  <si>
    <t>90576A147</t>
  </si>
  <si>
    <t>MIL-001-493</t>
  </si>
  <si>
    <t>3011049</t>
  </si>
  <si>
    <t>MIL-001-553</t>
  </si>
  <si>
    <t>MIL-001-554</t>
  </si>
  <si>
    <t>MIL-001-556</t>
  </si>
  <si>
    <t>MIL-001-557</t>
  </si>
  <si>
    <t>MIL-001-525</t>
  </si>
  <si>
    <t>MIL-001-495</t>
  </si>
  <si>
    <t>MIL-001-069</t>
  </si>
  <si>
    <t>MIL-001-497</t>
  </si>
  <si>
    <t>MIL-001-496</t>
  </si>
  <si>
    <t>MIL-001-511</t>
  </si>
  <si>
    <t>MIL-001-500</t>
  </si>
  <si>
    <t>MIL-001-507</t>
  </si>
  <si>
    <t>MIL-001-555</t>
  </si>
  <si>
    <t>MIL-001-503</t>
  </si>
  <si>
    <t>MIL-001-558</t>
  </si>
  <si>
    <t>MIL-001-560</t>
  </si>
  <si>
    <t>MIL-001-562</t>
  </si>
  <si>
    <t>0153974</t>
  </si>
  <si>
    <t>93501A030</t>
  </si>
  <si>
    <t>MIL-001-565</t>
  </si>
  <si>
    <t>0153975</t>
  </si>
  <si>
    <t>MIL-001-566</t>
  </si>
  <si>
    <t>MIL-001-567</t>
  </si>
  <si>
    <t>38617</t>
  </si>
  <si>
    <t>DA731</t>
  </si>
  <si>
    <t>MIL-001-569</t>
  </si>
  <si>
    <t>0153973</t>
  </si>
  <si>
    <t>20-30115</t>
  </si>
  <si>
    <t>MIL-001-559</t>
  </si>
  <si>
    <t>MIL-001-508</t>
  </si>
  <si>
    <t>MIL-001-509</t>
  </si>
  <si>
    <t>MIL-001-502</t>
  </si>
  <si>
    <t>MIL-001-241</t>
  </si>
  <si>
    <t>MIL-001-561</t>
  </si>
  <si>
    <t>MIL-001-572</t>
  </si>
  <si>
    <t>MIL-001-583</t>
  </si>
  <si>
    <t>MIL-001-575</t>
  </si>
  <si>
    <t>430-008</t>
  </si>
  <si>
    <t>MIL-001-552</t>
  </si>
  <si>
    <t>MIL-001-586</t>
  </si>
  <si>
    <t>AS967</t>
  </si>
  <si>
    <t>MIL-001-584</t>
  </si>
  <si>
    <t>MIL-001-501</t>
  </si>
  <si>
    <t>MIL-001-595</t>
  </si>
  <si>
    <t>MIL-001-596</t>
  </si>
  <si>
    <t>MIL-001-1020</t>
  </si>
  <si>
    <t>MIL-001-1021</t>
  </si>
  <si>
    <t>MIL-001-1022</t>
  </si>
  <si>
    <t>MIL-001-1023</t>
  </si>
  <si>
    <t>MIL-001-1024</t>
  </si>
  <si>
    <t>MIL-001-1025</t>
  </si>
  <si>
    <t>MIL-001-1026</t>
  </si>
  <si>
    <t>MIL-001-1027</t>
  </si>
  <si>
    <t>MIL-001-1028</t>
  </si>
  <si>
    <t>MIL-001-1029</t>
  </si>
  <si>
    <t>MIL-001-1030</t>
  </si>
  <si>
    <t>MIL-001-1031</t>
  </si>
  <si>
    <t>MIL-001-1032</t>
  </si>
  <si>
    <t>MIL-001-1033</t>
  </si>
  <si>
    <t>MIL-001-1034</t>
  </si>
  <si>
    <t>VI808</t>
  </si>
  <si>
    <t>MIL-001-1035</t>
  </si>
  <si>
    <t>MIL-001-1036</t>
  </si>
  <si>
    <t>VI632</t>
  </si>
  <si>
    <t>RE278</t>
  </si>
  <si>
    <t>MIL-001-1038</t>
  </si>
  <si>
    <t>MIL-001-1043</t>
  </si>
  <si>
    <t>MIL-001-1045</t>
  </si>
  <si>
    <t>MIL-001-1046</t>
  </si>
  <si>
    <t>MIL-001-1047</t>
  </si>
  <si>
    <t>MIL-001-1048</t>
  </si>
  <si>
    <t>MIL-001-1050</t>
  </si>
  <si>
    <t>MIL-001-1051</t>
  </si>
  <si>
    <t>MIL-001-1052</t>
  </si>
  <si>
    <t>MIL-001-1053</t>
  </si>
  <si>
    <t>MIL-002-192</t>
  </si>
  <si>
    <t>MIL-001-1054</t>
  </si>
  <si>
    <t>MIL-001-1055</t>
  </si>
  <si>
    <t>MIL-001-1056</t>
  </si>
  <si>
    <t>MIL-001-1057</t>
  </si>
  <si>
    <t>MIL-001-1058</t>
  </si>
  <si>
    <t>800192</t>
  </si>
  <si>
    <t>RKSV4.4T-6.5-RKSV4.4T</t>
  </si>
  <si>
    <t>MIL-001-176</t>
  </si>
  <si>
    <t>MIL-001-779</t>
  </si>
  <si>
    <t>0153976</t>
  </si>
  <si>
    <t>1140383</t>
  </si>
  <si>
    <t>MIL-001-1542</t>
  </si>
  <si>
    <t>MIL-001-167</t>
  </si>
  <si>
    <t>S2212</t>
  </si>
  <si>
    <t>MIL-001-723</t>
  </si>
  <si>
    <t>MIL-001-724</t>
  </si>
  <si>
    <t>732383004</t>
  </si>
  <si>
    <t>927801-118</t>
  </si>
  <si>
    <t>730801-002</t>
  </si>
  <si>
    <t>DT04-4P</t>
  </si>
  <si>
    <t>W4P</t>
  </si>
  <si>
    <t>0460-202-16141</t>
  </si>
  <si>
    <t>MIL-001-619</t>
  </si>
  <si>
    <t>MIL-001-1541</t>
  </si>
  <si>
    <t>907-BK</t>
  </si>
  <si>
    <t>P906-BK</t>
  </si>
  <si>
    <t>MIL-001-765</t>
  </si>
  <si>
    <t>MIL-001-806</t>
  </si>
  <si>
    <t>MIL-001-808</t>
  </si>
  <si>
    <t>MIL-001-764</t>
  </si>
  <si>
    <t>MIL-001-047</t>
  </si>
  <si>
    <t>MIL-001-870</t>
  </si>
  <si>
    <t>MIL-001-869</t>
  </si>
  <si>
    <t>26410</t>
  </si>
  <si>
    <t>90126A038</t>
  </si>
  <si>
    <t>MIL-001-331</t>
  </si>
  <si>
    <t>37579</t>
  </si>
  <si>
    <t>MIL-001-078</t>
  </si>
  <si>
    <t>MIL-001-203</t>
  </si>
  <si>
    <t>MIL-001-1561</t>
  </si>
  <si>
    <t>MIL-001-1562</t>
  </si>
  <si>
    <t>MIL-001-1551</t>
  </si>
  <si>
    <t>MIL-001-1552</t>
  </si>
  <si>
    <t>MIL-001-1554</t>
  </si>
  <si>
    <t>MIL-001-1555</t>
  </si>
  <si>
    <t>MIL-001-1556</t>
  </si>
  <si>
    <t>MIL-001-1557</t>
  </si>
  <si>
    <t>MIL-001-1558</t>
  </si>
  <si>
    <t>MIL-001-1559</t>
  </si>
  <si>
    <t>6EMTXS</t>
  </si>
  <si>
    <t>58697</t>
  </si>
  <si>
    <t>98180A160</t>
  </si>
  <si>
    <t>37577</t>
  </si>
  <si>
    <t>MIL-001-376</t>
  </si>
  <si>
    <t>MIL-001-377</t>
  </si>
  <si>
    <t>MIL-001-130</t>
  </si>
  <si>
    <t>MIL-001-208</t>
  </si>
  <si>
    <t>MIL-001-1549</t>
  </si>
  <si>
    <t>MIL-001-1550</t>
  </si>
  <si>
    <t>MIL-001-425</t>
  </si>
  <si>
    <t>MIL-001-426</t>
  </si>
  <si>
    <t>MIL-001-378</t>
  </si>
  <si>
    <t>MIL-001-379</t>
  </si>
  <si>
    <t>MIL-001-222</t>
  </si>
  <si>
    <t>1105K71</t>
  </si>
  <si>
    <t>MIL-001-799</t>
  </si>
  <si>
    <t>15523</t>
  </si>
  <si>
    <t>MIL-001-340</t>
  </si>
  <si>
    <t>MIL-001-761</t>
  </si>
  <si>
    <t>MIL-001-197</t>
  </si>
  <si>
    <t>91102A770</t>
  </si>
  <si>
    <t>0169238</t>
  </si>
  <si>
    <t>MIL-001-1319</t>
  </si>
  <si>
    <t>MIL-001-1486</t>
  </si>
  <si>
    <t>DT06-2S</t>
  </si>
  <si>
    <t>W2S-P012</t>
  </si>
  <si>
    <t>8T8730</t>
  </si>
  <si>
    <t>MIL-001-952</t>
  </si>
  <si>
    <t>MIL-001-730</t>
  </si>
  <si>
    <t>MIL-001-726</t>
  </si>
  <si>
    <t>MIL-001-762</t>
  </si>
  <si>
    <t>MIL-001-729</t>
  </si>
  <si>
    <t>MIL-001-003</t>
  </si>
  <si>
    <t>MIL-001-004</t>
  </si>
  <si>
    <t>MIL-001-007</t>
  </si>
  <si>
    <t>MIL-001-727</t>
  </si>
  <si>
    <t>90126A033</t>
  </si>
  <si>
    <t>91286A344</t>
  </si>
  <si>
    <t>MIL-001-202</t>
  </si>
  <si>
    <t>37578</t>
  </si>
  <si>
    <t>MIL-001-1412</t>
  </si>
  <si>
    <t>MIL-001-767</t>
  </si>
  <si>
    <t>12585845</t>
  </si>
  <si>
    <t>12585846</t>
  </si>
  <si>
    <t>91286A155</t>
  </si>
  <si>
    <t>90126A030</t>
  </si>
  <si>
    <t>1133620</t>
  </si>
  <si>
    <t>51356</t>
  </si>
  <si>
    <t>MIL-001-258</t>
  </si>
  <si>
    <t>MIL-001-259</t>
  </si>
  <si>
    <t>91102A750</t>
  </si>
  <si>
    <t>MIL-001-1175</t>
  </si>
  <si>
    <t>0162158</t>
  </si>
  <si>
    <t>MW6380000A20000</t>
  </si>
  <si>
    <t>94205A260</t>
  </si>
  <si>
    <t>93635A416</t>
  </si>
  <si>
    <t>94205A270</t>
  </si>
  <si>
    <t>12500836</t>
  </si>
  <si>
    <t>MIL-001-1524</t>
  </si>
  <si>
    <t>MIL-001-1525</t>
  </si>
  <si>
    <t>MIL-001-1185</t>
  </si>
  <si>
    <t>MIL-001-1190</t>
  </si>
  <si>
    <t>MIL-001-841</t>
  </si>
  <si>
    <t>MIL-001-512</t>
  </si>
  <si>
    <t>MIL-001-515</t>
  </si>
  <si>
    <t>MIL-001-580</t>
  </si>
  <si>
    <t>12759-90077</t>
  </si>
  <si>
    <t>L140127-06</t>
  </si>
  <si>
    <t>MIL-001-593</t>
  </si>
  <si>
    <t>MIL-001-594</t>
  </si>
  <si>
    <t>L140125-05</t>
  </si>
  <si>
    <t>MIL-001-592</t>
  </si>
  <si>
    <t>91635A260</t>
  </si>
  <si>
    <t>L140127-08</t>
  </si>
  <si>
    <t>91120A180</t>
  </si>
  <si>
    <t>MIL-001-513</t>
  </si>
  <si>
    <t>MIL-001-710</t>
  </si>
  <si>
    <t>MIL-001-711</t>
  </si>
  <si>
    <t>MIL-001-712</t>
  </si>
  <si>
    <t>MIL-001-713</t>
  </si>
  <si>
    <t>MIL-001-697</t>
  </si>
  <si>
    <t>MIL-001-514</t>
  </si>
  <si>
    <t>MIL-001-582</t>
  </si>
  <si>
    <t>MIL-001-578</t>
  </si>
  <si>
    <t>6 WFTX-WLN-S</t>
  </si>
  <si>
    <t>TA968</t>
  </si>
  <si>
    <t>MIL-001-698</t>
  </si>
  <si>
    <t>MIL-001-699</t>
  </si>
  <si>
    <t>MIL-001-516</t>
  </si>
  <si>
    <t>MIL-001-250</t>
  </si>
  <si>
    <t>MIL-001-587</t>
  </si>
  <si>
    <t>MIL-001-251</t>
  </si>
  <si>
    <t>MIL-001-1188</t>
  </si>
  <si>
    <t>MIL-001-355</t>
  </si>
  <si>
    <t>34163</t>
  </si>
  <si>
    <t>13216E6191-1</t>
  </si>
  <si>
    <t>DVF14-250</t>
  </si>
  <si>
    <t>RB2517</t>
  </si>
  <si>
    <t>MIL-001-650</t>
  </si>
  <si>
    <t>MIL-001-768</t>
  </si>
  <si>
    <t>91286A154</t>
  </si>
  <si>
    <t>MIL-001-337</t>
  </si>
  <si>
    <t>90108A415</t>
  </si>
  <si>
    <t>MIL-001-1191</t>
  </si>
  <si>
    <t>MIL-001-1545</t>
  </si>
  <si>
    <t>DT06-4S</t>
  </si>
  <si>
    <t>W4S-P012</t>
  </si>
  <si>
    <t>0462-201-16141</t>
  </si>
  <si>
    <t>MIL-001-1194</t>
  </si>
  <si>
    <t>MIL-001-1546</t>
  </si>
  <si>
    <t>MIL-001-1547</t>
  </si>
  <si>
    <t>MIL-001-1548</t>
  </si>
  <si>
    <t>MIL-001-1362</t>
  </si>
  <si>
    <t>MIL-001-1363</t>
  </si>
  <si>
    <t>33-2287</t>
  </si>
  <si>
    <t>NASM51959-83</t>
  </si>
  <si>
    <t>90108A413</t>
  </si>
  <si>
    <t>0153964</t>
  </si>
  <si>
    <t>MIL-001-072</t>
  </si>
  <si>
    <t>MIL-001-400</t>
  </si>
  <si>
    <t>157B3171</t>
  </si>
  <si>
    <t>157B3999</t>
  </si>
  <si>
    <t>3KP468</t>
  </si>
  <si>
    <t>MIL-001-463</t>
  </si>
  <si>
    <t>157B4997</t>
  </si>
  <si>
    <t>157B5312</t>
  </si>
  <si>
    <t>157B5999</t>
  </si>
  <si>
    <t>157B4238</t>
  </si>
  <si>
    <t>MIL-001-461</t>
  </si>
  <si>
    <t>MIL-001-719</t>
  </si>
  <si>
    <t>MIL-001-598</t>
  </si>
  <si>
    <t>157B6630</t>
  </si>
  <si>
    <t>MIL-001-464</t>
  </si>
  <si>
    <t>MIL-001-465</t>
  </si>
  <si>
    <t>6HR775</t>
  </si>
  <si>
    <t>MIL-001-466</t>
  </si>
  <si>
    <t>MIL-001-467</t>
  </si>
  <si>
    <t>MIL-001-468</t>
  </si>
  <si>
    <t>157B6600</t>
  </si>
  <si>
    <t>MIL-001-470</t>
  </si>
  <si>
    <t>MIL-001-471</t>
  </si>
  <si>
    <t>MIL-001-472</t>
  </si>
  <si>
    <t>157B2020</t>
  </si>
  <si>
    <t>202702-10-6S</t>
  </si>
  <si>
    <t>C5315X8X12</t>
  </si>
  <si>
    <t>MIL-001-1543</t>
  </si>
  <si>
    <t>MIL-001-1140</t>
  </si>
  <si>
    <t>166.7000.4756</t>
  </si>
  <si>
    <t>MIL-001-694</t>
  </si>
  <si>
    <t>MIL-001-075</t>
  </si>
  <si>
    <t>MIL-001-649</t>
  </si>
  <si>
    <t>MIL-001-073</t>
  </si>
  <si>
    <t>MIL-001-238</t>
  </si>
  <si>
    <t>MIL-001-174</t>
  </si>
  <si>
    <t>MIL-001-532</t>
  </si>
  <si>
    <t>MIL-001-721</t>
  </si>
  <si>
    <t>MIL-001-597</t>
  </si>
  <si>
    <t>MIL-001-599</t>
  </si>
  <si>
    <t>MIL-001-600</t>
  </si>
  <si>
    <t>MIL-001-601</t>
  </si>
  <si>
    <t>MIL-001-861</t>
  </si>
  <si>
    <t>870040</t>
  </si>
  <si>
    <t>MIL-001-1222</t>
  </si>
  <si>
    <t>501447</t>
  </si>
  <si>
    <t>MIL-001-090</t>
  </si>
  <si>
    <t>MIL-001-339</t>
  </si>
  <si>
    <t>MIL-001-420</t>
  </si>
  <si>
    <t>HBL11</t>
  </si>
  <si>
    <t>700356-17</t>
  </si>
  <si>
    <t>12574289</t>
  </si>
  <si>
    <t>12574291</t>
  </si>
  <si>
    <t>12574292</t>
  </si>
  <si>
    <t>12574293</t>
  </si>
  <si>
    <t>90126A031</t>
  </si>
  <si>
    <t>91102A760</t>
  </si>
  <si>
    <t>MIL-001-312</t>
  </si>
  <si>
    <t>12574304</t>
  </si>
  <si>
    <t>12574317</t>
  </si>
  <si>
    <t>6157K16</t>
  </si>
  <si>
    <t>12574295</t>
  </si>
  <si>
    <t>12574296</t>
  </si>
  <si>
    <t>91286A330</t>
  </si>
  <si>
    <t>11342256</t>
  </si>
  <si>
    <t>8307104</t>
  </si>
  <si>
    <t>91102A036</t>
  </si>
  <si>
    <t>3912753C1</t>
  </si>
  <si>
    <t>91286A477</t>
  </si>
  <si>
    <t>12574297</t>
  </si>
  <si>
    <t>90185A589</t>
  </si>
  <si>
    <t>12574298</t>
  </si>
  <si>
    <t>12574299</t>
  </si>
  <si>
    <t>9217K55</t>
  </si>
  <si>
    <t>90096A550</t>
  </si>
  <si>
    <t>37573</t>
  </si>
  <si>
    <t>1140358</t>
  </si>
  <si>
    <t>94645A220</t>
  </si>
  <si>
    <t>12574300</t>
  </si>
  <si>
    <t>12574301</t>
  </si>
  <si>
    <t>12574302</t>
  </si>
  <si>
    <t>12574325</t>
  </si>
  <si>
    <t>12574326</t>
  </si>
  <si>
    <t>12574327</t>
  </si>
  <si>
    <t>10001913</t>
  </si>
  <si>
    <t>91286A318</t>
  </si>
  <si>
    <t>LT1504-C8-10</t>
  </si>
  <si>
    <t>91263A559</t>
  </si>
  <si>
    <t>16055T267</t>
  </si>
  <si>
    <t>7840K73</t>
  </si>
  <si>
    <t>99-5050</t>
  </si>
  <si>
    <t>PLT4H-CO</t>
  </si>
  <si>
    <t>PLT4H-TL</t>
  </si>
  <si>
    <t>COV-1717</t>
  </si>
  <si>
    <t>COV-2509</t>
  </si>
  <si>
    <t>COV-3309</t>
  </si>
  <si>
    <t>91263A840</t>
  </si>
  <si>
    <t>94645A205</t>
  </si>
  <si>
    <t>0141391</t>
  </si>
  <si>
    <t>98035A104</t>
  </si>
  <si>
    <t>91280A322</t>
  </si>
  <si>
    <t>92605A154</t>
  </si>
  <si>
    <t>14228</t>
  </si>
  <si>
    <t>95610A380</t>
  </si>
  <si>
    <t>MIL-001-1176</t>
  </si>
  <si>
    <t>MS25036-105</t>
  </si>
  <si>
    <t>7106K18</t>
  </si>
  <si>
    <t>10502900</t>
  </si>
  <si>
    <t>NHA</t>
  </si>
  <si>
    <t>MIL-001-1573</t>
  </si>
  <si>
    <t>17384</t>
  </si>
  <si>
    <t>FSC</t>
  </si>
  <si>
    <t>NIIN</t>
  </si>
  <si>
    <t>PCCN: CRGARM</t>
  </si>
  <si>
    <t>PLISN: BA8J</t>
  </si>
  <si>
    <t>PCC: TIT</t>
  </si>
  <si>
    <t>CAGE: 39428</t>
  </si>
  <si>
    <t>PART NUMBER: 7106K63</t>
  </si>
  <si>
    <t>NOMENCLATURE: TERMINAL,LUG</t>
  </si>
  <si>
    <t>PRICE: $1.09</t>
  </si>
  <si>
    <t>UNIQUE MODS: NO</t>
  </si>
  <si>
    <t>PROPRIETARILY MFG FOR OEM: NO</t>
  </si>
  <si>
    <t>Price</t>
  </si>
  <si>
    <t>Part Number preserve</t>
  </si>
  <si>
    <t>Price fix</t>
  </si>
  <si>
    <t>TOCC</t>
  </si>
  <si>
    <t>IND</t>
  </si>
  <si>
    <t>CAGE</t>
  </si>
  <si>
    <t>MIL-001-1071</t>
  </si>
  <si>
    <t>MIL-001-1072</t>
  </si>
  <si>
    <t>185150F</t>
  </si>
  <si>
    <t>93245A155</t>
  </si>
  <si>
    <t>4307500</t>
  </si>
  <si>
    <t>91180A643</t>
  </si>
  <si>
    <t>93162A330</t>
  </si>
  <si>
    <t>90576A132</t>
  </si>
  <si>
    <t>11114166</t>
  </si>
  <si>
    <t>18694</t>
  </si>
  <si>
    <t>18693</t>
  </si>
  <si>
    <t>157B4996</t>
  </si>
  <si>
    <t>157B7105</t>
  </si>
  <si>
    <t>157B2190</t>
  </si>
  <si>
    <t>157B8005</t>
  </si>
  <si>
    <t>DBM 255196</t>
  </si>
  <si>
    <t>DBM 216153</t>
  </si>
  <si>
    <t>19204-0004</t>
  </si>
  <si>
    <t>MIL-001-1574</t>
  </si>
  <si>
    <t>PLT2I-C0</t>
  </si>
  <si>
    <t/>
  </si>
  <si>
    <t>FKFS4.4 M12</t>
  </si>
  <si>
    <t>BS8141-0 PG9</t>
  </si>
  <si>
    <t>VA14-BP7 C-34A</t>
  </si>
  <si>
    <t>M81914 8-2107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</si>
</sst>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indexed="8"/>
      <name val="Arial"/>
      <family val="2"/>
      <charset val="1"/>
    </font>
    <font>
      <sz val="10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12">
    <xf numFmtId="0" fontId="0" fillId="0" borderId="0" xfId="0"/>
    <xf numFmtId="49" fontId="0" fillId="0" borderId="0" xfId="0" applyNumberFormat="1" applyFill="1"/>
    <xf numFmtId="49" fontId="0" fillId="0" borderId="0" xfId="0" applyNumberFormat="1"/>
    <xf numFmtId="0" fontId="0" fillId="2" borderId="0" xfId="0" applyNumberFormat="1" applyFill="1"/>
    <xf numFmtId="0" fontId="0" fillId="2" borderId="0" xfId="0" applyFill="1"/>
    <xf numFmtId="0" fontId="0" fillId="2" borderId="0" xfId="0" applyFill="1" applyAlignment="1">
      <alignment horizontal="left"/>
    </xf>
    <xf numFmtId="14" fontId="2" fillId="2" borderId="0" xfId="1" applyNumberFormat="1" applyFont="1" applyFill="1" applyAlignment="1">
      <alignment horizontal="left"/>
    </xf>
    <xf numFmtId="0" fontId="0" fillId="0" borderId="0" xfId="0" applyNumberFormat="1"/>
    <xf numFmtId="0" fontId="0" fillId="0" borderId="0" xfId="0" applyNumberFormat="1" applyFill="1"/>
    <xf numFmtId="0" fontId="0" fillId="2" borderId="0" xfId="0" applyNumberFormat="1" applyFill="1" applyAlignment="1">
      <alignment horizontal="left"/>
    </xf>
    <xf numFmtId="0" fontId="2" fillId="2" borderId="0" xfId="1" applyNumberFormat="1" applyFont="1" applyFill="1" applyAlignment="1">
      <alignment horizontal="left"/>
    </xf>
    <xf numFmtId="0" fontId="2" fillId="0" borderId="0" xfId="1" applyNumberFormat="1" applyFont="1" applyAlignment="1">
      <alignment horizontal="left"/>
    </xf>
  </cellXfs>
  <cellStyles count="2">
    <cellStyle name="Excel Built-in Normal" xfId="1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gillespie/Desktop/MMPV_IA/Parts_Development/PMD_Tools/Communication/036_to_spreadsheet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All"/>
      <sheetName val="Ref N"/>
      <sheetName val="036"/>
      <sheetName val="New 036"/>
      <sheetName val="RTD,MTD,RCT"/>
      <sheetName val="Figure Info"/>
      <sheetName val="Sheet1"/>
    </sheetNames>
    <sheetDataSet>
      <sheetData sheetId="0">
        <row r="3">
          <cell r="B3" t="str">
            <v xml:space="preserve">AAAA </v>
          </cell>
          <cell r="D3" t="str">
            <v>A</v>
          </cell>
          <cell r="E3">
            <v>19207</v>
          </cell>
          <cell r="F3" t="str">
            <v>MMPV TYPE II CPD 3.8</v>
          </cell>
          <cell r="L3" t="str">
            <v>INTERROGATION ARM A</v>
          </cell>
          <cell r="R3" t="str">
            <v>2590</v>
          </cell>
          <cell r="S3" t="str">
            <v>016185030</v>
          </cell>
          <cell r="V3" t="str">
            <v>0004695200</v>
          </cell>
        </row>
        <row r="4">
          <cell r="B4" t="str">
            <v xml:space="preserve">AAF6 </v>
          </cell>
          <cell r="D4" t="str">
            <v>B</v>
          </cell>
          <cell r="E4">
            <v>19207</v>
          </cell>
          <cell r="F4" t="str">
            <v>12574288</v>
          </cell>
          <cell r="L4" t="str">
            <v>INSTALLATION KIT,VE</v>
          </cell>
          <cell r="R4" t="str">
            <v/>
          </cell>
          <cell r="S4" t="str">
            <v/>
          </cell>
          <cell r="V4" t="str">
            <v>0000000001</v>
          </cell>
          <cell r="AJ4" t="str">
            <v xml:space="preserve">AAAA </v>
          </cell>
        </row>
        <row r="5">
          <cell r="B5" t="str">
            <v xml:space="preserve">AAM2 </v>
          </cell>
          <cell r="D5" t="str">
            <v>C</v>
          </cell>
          <cell r="E5" t="str">
            <v>0UJB5</v>
          </cell>
          <cell r="F5" t="str">
            <v>MIL-001-080</v>
          </cell>
          <cell r="L5" t="str">
            <v>CYLINDER ASSEMBLY,A</v>
          </cell>
          <cell r="R5" t="str">
            <v>3040</v>
          </cell>
          <cell r="S5" t="str">
            <v>015666891</v>
          </cell>
          <cell r="V5" t="str">
            <v>0001282066</v>
          </cell>
          <cell r="AJ5" t="str">
            <v xml:space="preserve">AAF6 </v>
          </cell>
        </row>
        <row r="6">
          <cell r="B6" t="str">
            <v xml:space="preserve">AATY </v>
          </cell>
          <cell r="D6" t="str">
            <v>D</v>
          </cell>
          <cell r="E6" t="str">
            <v>0UJB5</v>
          </cell>
          <cell r="F6" t="str">
            <v>MIL-001-396</v>
          </cell>
          <cell r="L6" t="str">
            <v xml:space="preserve">CRANE-SHOVEL,BASIC </v>
          </cell>
          <cell r="R6" t="str">
            <v>3810</v>
          </cell>
          <cell r="S6" t="str">
            <v>015663870</v>
          </cell>
          <cell r="V6" t="str">
            <v>0001188629</v>
          </cell>
          <cell r="AJ6" t="str">
            <v xml:space="preserve">AAM2 </v>
          </cell>
        </row>
        <row r="7">
          <cell r="B7" t="str">
            <v xml:space="preserve">AAZU </v>
          </cell>
          <cell r="D7" t="str">
            <v>E</v>
          </cell>
          <cell r="E7" t="str">
            <v>0UJB5</v>
          </cell>
          <cell r="F7" t="str">
            <v>MIL-001-498</v>
          </cell>
          <cell r="L7" t="str">
            <v>MOTOR,HYDRAULIC</v>
          </cell>
          <cell r="R7" t="str">
            <v>4320</v>
          </cell>
          <cell r="S7" t="str">
            <v>015668386</v>
          </cell>
          <cell r="V7" t="str">
            <v>0000098772</v>
          </cell>
          <cell r="AJ7" t="str">
            <v xml:space="preserve">AATY </v>
          </cell>
        </row>
        <row r="8">
          <cell r="B8" t="str">
            <v xml:space="preserve">AA5Q </v>
          </cell>
          <cell r="D8" t="str">
            <v>E</v>
          </cell>
          <cell r="E8" t="str">
            <v>0UJB5</v>
          </cell>
          <cell r="F8" t="str">
            <v>MIL-001-499</v>
          </cell>
          <cell r="L8" t="str">
            <v>HOSE ASSEMBLY,NONME</v>
          </cell>
          <cell r="R8" t="str">
            <v>4720</v>
          </cell>
          <cell r="S8" t="str">
            <v>015664409</v>
          </cell>
          <cell r="V8" t="str">
            <v>0000008145</v>
          </cell>
          <cell r="AJ8" t="str">
            <v xml:space="preserve">AATY </v>
          </cell>
        </row>
        <row r="9">
          <cell r="B9" t="str">
            <v xml:space="preserve">ABBL </v>
          </cell>
          <cell r="D9" t="str">
            <v>E</v>
          </cell>
          <cell r="E9" t="str">
            <v>0UJB5</v>
          </cell>
          <cell r="F9" t="str">
            <v>MIL-001-067</v>
          </cell>
          <cell r="L9" t="str">
            <v>CYLINDER ASSEMBLY,A</v>
          </cell>
          <cell r="R9" t="str">
            <v>3040</v>
          </cell>
          <cell r="S9" t="str">
            <v>015668242</v>
          </cell>
          <cell r="V9" t="str">
            <v>0000152256</v>
          </cell>
          <cell r="AJ9" t="str">
            <v xml:space="preserve">AATY </v>
          </cell>
        </row>
        <row r="10">
          <cell r="B10" t="str">
            <v xml:space="preserve">ABHG </v>
          </cell>
          <cell r="D10" t="str">
            <v>F</v>
          </cell>
          <cell r="E10" t="str">
            <v>0UJB5</v>
          </cell>
          <cell r="F10" t="str">
            <v>MIL-001-533</v>
          </cell>
          <cell r="L10" t="str">
            <v>CYLINDER ASSEMBLY,A</v>
          </cell>
          <cell r="R10" t="str">
            <v>3040</v>
          </cell>
          <cell r="S10" t="str">
            <v>015668374</v>
          </cell>
          <cell r="V10" t="str">
            <v>0000203717</v>
          </cell>
          <cell r="AJ10" t="str">
            <v xml:space="preserve">ABBL </v>
          </cell>
        </row>
        <row r="11">
          <cell r="B11" t="str">
            <v xml:space="preserve">ABPC </v>
          </cell>
          <cell r="D11" t="str">
            <v>G</v>
          </cell>
          <cell r="E11" t="str">
            <v>0UJB5</v>
          </cell>
          <cell r="F11" t="str">
            <v>MIL-001-1075</v>
          </cell>
          <cell r="L11" t="str">
            <v>BODY,CYLINDER</v>
          </cell>
          <cell r="R11" t="str">
            <v/>
          </cell>
          <cell r="S11" t="str">
            <v/>
          </cell>
          <cell r="V11" t="str">
            <v>0000068000</v>
          </cell>
          <cell r="AJ11" t="str">
            <v xml:space="preserve">ABHG </v>
          </cell>
        </row>
        <row r="12">
          <cell r="B12" t="str">
            <v xml:space="preserve">ABU8 </v>
          </cell>
          <cell r="D12" t="str">
            <v>G</v>
          </cell>
          <cell r="E12" t="str">
            <v>0UJB5</v>
          </cell>
          <cell r="F12" t="str">
            <v>MIL-001-1076</v>
          </cell>
          <cell r="L12" t="str">
            <v>SPACER</v>
          </cell>
          <cell r="R12" t="str">
            <v/>
          </cell>
          <cell r="S12" t="str">
            <v/>
          </cell>
          <cell r="V12" t="str">
            <v>0000003697</v>
          </cell>
          <cell r="AJ12" t="str">
            <v xml:space="preserve">ABHG </v>
          </cell>
        </row>
        <row r="13">
          <cell r="B13" t="str">
            <v xml:space="preserve">AB04 </v>
          </cell>
          <cell r="D13" t="str">
            <v>G</v>
          </cell>
          <cell r="E13" t="str">
            <v>0UJB5</v>
          </cell>
          <cell r="F13" t="str">
            <v>MIL-001-1077</v>
          </cell>
          <cell r="L13" t="str">
            <v>BUSHING,SLEEVE</v>
          </cell>
          <cell r="R13" t="str">
            <v/>
          </cell>
          <cell r="S13" t="str">
            <v/>
          </cell>
          <cell r="V13" t="str">
            <v>0000000233</v>
          </cell>
          <cell r="AJ13" t="str">
            <v xml:space="preserve">ABHG </v>
          </cell>
        </row>
        <row r="14">
          <cell r="B14" t="str">
            <v xml:space="preserve">AB60 </v>
          </cell>
          <cell r="D14" t="str">
            <v>G</v>
          </cell>
          <cell r="E14" t="str">
            <v>0UJB5</v>
          </cell>
          <cell r="F14" t="str">
            <v>MIL-001-1078</v>
          </cell>
          <cell r="L14" t="str">
            <v>ROD</v>
          </cell>
          <cell r="R14" t="str">
            <v/>
          </cell>
          <cell r="S14" t="str">
            <v/>
          </cell>
          <cell r="V14" t="str">
            <v>0000060670</v>
          </cell>
          <cell r="AJ14" t="str">
            <v xml:space="preserve">ABHG </v>
          </cell>
        </row>
        <row r="15">
          <cell r="B15" t="str">
            <v xml:space="preserve">ACCW </v>
          </cell>
          <cell r="D15" t="str">
            <v>G</v>
          </cell>
          <cell r="E15" t="str">
            <v>0U5J4</v>
          </cell>
          <cell r="F15" t="str">
            <v>DBM 255196</v>
          </cell>
          <cell r="L15" t="str">
            <v>SEAL</v>
          </cell>
          <cell r="R15" t="str">
            <v/>
          </cell>
          <cell r="S15" t="str">
            <v/>
          </cell>
          <cell r="V15" t="str">
            <v>0000001538</v>
          </cell>
          <cell r="AJ15" t="str">
            <v xml:space="preserve">ABHG </v>
          </cell>
        </row>
        <row r="16">
          <cell r="B16" t="str">
            <v xml:space="preserve">ACJS </v>
          </cell>
          <cell r="D16" t="str">
            <v>G</v>
          </cell>
          <cell r="E16" t="str">
            <v>0UJB5</v>
          </cell>
          <cell r="F16" t="str">
            <v>MIL-001-1080</v>
          </cell>
          <cell r="L16" t="str">
            <v>NUT</v>
          </cell>
          <cell r="R16" t="str">
            <v/>
          </cell>
          <cell r="S16" t="str">
            <v/>
          </cell>
          <cell r="V16" t="str">
            <v>0000020528</v>
          </cell>
          <cell r="AJ16" t="str">
            <v xml:space="preserve">ABHG </v>
          </cell>
        </row>
        <row r="17">
          <cell r="B17" t="str">
            <v xml:space="preserve">ACQN </v>
          </cell>
          <cell r="D17" t="str">
            <v>G</v>
          </cell>
          <cell r="E17" t="str">
            <v>0UJB5</v>
          </cell>
          <cell r="F17" t="str">
            <v>GB415</v>
          </cell>
          <cell r="L17" t="str">
            <v>SEAL, PLAIN</v>
          </cell>
          <cell r="R17" t="str">
            <v>5330</v>
          </cell>
          <cell r="S17" t="str">
            <v>015454400</v>
          </cell>
          <cell r="V17" t="str">
            <v>0000003697</v>
          </cell>
          <cell r="AJ17" t="str">
            <v xml:space="preserve">ABHG </v>
          </cell>
        </row>
        <row r="18">
          <cell r="B18" t="str">
            <v xml:space="preserve">ACWJ </v>
          </cell>
          <cell r="D18" t="str">
            <v>G</v>
          </cell>
          <cell r="E18" t="str">
            <v>0UJB5</v>
          </cell>
          <cell r="F18" t="str">
            <v>GW442</v>
          </cell>
          <cell r="L18" t="str">
            <v>SEAL, PLAIN</v>
          </cell>
          <cell r="R18" t="str">
            <v>5330</v>
          </cell>
          <cell r="S18" t="str">
            <v>015461041</v>
          </cell>
          <cell r="V18" t="str">
            <v>0000001053</v>
          </cell>
          <cell r="AJ18" t="str">
            <v xml:space="preserve">ABHG </v>
          </cell>
        </row>
        <row r="19">
          <cell r="B19" t="str">
            <v xml:space="preserve">AC2E </v>
          </cell>
          <cell r="D19" t="str">
            <v>G</v>
          </cell>
          <cell r="E19" t="str">
            <v>0UJB5</v>
          </cell>
          <cell r="F19" t="str">
            <v>MIL-001-1083</v>
          </cell>
          <cell r="L19" t="str">
            <v>O-RING</v>
          </cell>
          <cell r="R19" t="str">
            <v/>
          </cell>
          <cell r="S19" t="str">
            <v/>
          </cell>
          <cell r="V19" t="str">
            <v>0000000066</v>
          </cell>
          <cell r="AJ19" t="str">
            <v xml:space="preserve">ABHG </v>
          </cell>
        </row>
        <row r="20">
          <cell r="B20" t="str">
            <v xml:space="preserve">AC8A </v>
          </cell>
          <cell r="D20" t="str">
            <v>G</v>
          </cell>
          <cell r="E20" t="str">
            <v>0UJB5</v>
          </cell>
          <cell r="F20" t="str">
            <v>MIL-001-1084</v>
          </cell>
          <cell r="L20" t="str">
            <v>RING, SPLIT</v>
          </cell>
          <cell r="R20" t="str">
            <v/>
          </cell>
          <cell r="S20" t="str">
            <v/>
          </cell>
          <cell r="V20" t="str">
            <v>0000000611</v>
          </cell>
          <cell r="AJ20" t="str">
            <v xml:space="preserve">ABHG </v>
          </cell>
        </row>
        <row r="21">
          <cell r="B21" t="str">
            <v xml:space="preserve">ADD6 </v>
          </cell>
          <cell r="D21" t="str">
            <v>G</v>
          </cell>
          <cell r="E21" t="str">
            <v>0UJB5</v>
          </cell>
          <cell r="F21" t="str">
            <v>MIL-001-1085</v>
          </cell>
          <cell r="L21" t="str">
            <v>END,LINEAR ACTUATIN</v>
          </cell>
          <cell r="R21" t="str">
            <v/>
          </cell>
          <cell r="S21" t="str">
            <v/>
          </cell>
          <cell r="V21" t="str">
            <v>0000021000</v>
          </cell>
          <cell r="AJ21" t="str">
            <v xml:space="preserve">ABHG </v>
          </cell>
        </row>
        <row r="22">
          <cell r="B22" t="str">
            <v xml:space="preserve">ADK2 </v>
          </cell>
          <cell r="D22" t="str">
            <v>G</v>
          </cell>
          <cell r="E22" t="str">
            <v>0UJB5</v>
          </cell>
          <cell r="F22" t="str">
            <v>MIL-001-1086</v>
          </cell>
          <cell r="L22" t="str">
            <v>SPACER</v>
          </cell>
          <cell r="R22" t="str">
            <v/>
          </cell>
          <cell r="S22" t="str">
            <v/>
          </cell>
          <cell r="V22" t="str">
            <v>0000003765</v>
          </cell>
          <cell r="AJ22" t="str">
            <v xml:space="preserve">ABHG </v>
          </cell>
        </row>
        <row r="23">
          <cell r="B23" t="str">
            <v xml:space="preserve">ADRY </v>
          </cell>
          <cell r="D23" t="str">
            <v>G</v>
          </cell>
          <cell r="E23" t="str">
            <v>39428</v>
          </cell>
          <cell r="F23" t="str">
            <v>93245A155</v>
          </cell>
          <cell r="L23" t="str">
            <v>SCREW,SET</v>
          </cell>
          <cell r="R23" t="str">
            <v/>
          </cell>
          <cell r="S23" t="str">
            <v/>
          </cell>
          <cell r="V23" t="str">
            <v>0000000240</v>
          </cell>
          <cell r="AJ23" t="str">
            <v xml:space="preserve">ABHG </v>
          </cell>
        </row>
        <row r="24">
          <cell r="B24" t="str">
            <v xml:space="preserve">ADXU </v>
          </cell>
          <cell r="D24" t="str">
            <v>F</v>
          </cell>
          <cell r="E24" t="str">
            <v>0UJB5</v>
          </cell>
          <cell r="F24" t="str">
            <v>MIL-001-489</v>
          </cell>
          <cell r="L24" t="str">
            <v>VALVE ASSEMBLY</v>
          </cell>
          <cell r="R24" t="str">
            <v>4820</v>
          </cell>
          <cell r="S24" t="str">
            <v>015672345</v>
          </cell>
          <cell r="V24" t="str">
            <v>0000027984</v>
          </cell>
          <cell r="AJ24" t="str">
            <v xml:space="preserve">ABBL </v>
          </cell>
        </row>
        <row r="25">
          <cell r="B25" t="str">
            <v xml:space="preserve">AD3Q </v>
          </cell>
          <cell r="D25" t="str">
            <v>F</v>
          </cell>
          <cell r="E25" t="str">
            <v>0UJB5</v>
          </cell>
          <cell r="F25" t="str">
            <v>V1593</v>
          </cell>
          <cell r="L25" t="str">
            <v>SCREW,CAP,HEXAGON H</v>
          </cell>
          <cell r="R25" t="str">
            <v>5305</v>
          </cell>
          <cell r="S25" t="str">
            <v>015451447</v>
          </cell>
          <cell r="V25" t="str">
            <v>0000000509</v>
          </cell>
          <cell r="AJ25" t="str">
            <v xml:space="preserve">ABBL </v>
          </cell>
        </row>
        <row r="26">
          <cell r="B26" t="str">
            <v xml:space="preserve">AD9L </v>
          </cell>
          <cell r="D26" t="str">
            <v>F</v>
          </cell>
          <cell r="E26" t="str">
            <v>0UJB5</v>
          </cell>
          <cell r="F26" t="str">
            <v>RP201</v>
          </cell>
          <cell r="L26" t="str">
            <v>WASHER,FLAT</v>
          </cell>
          <cell r="R26" t="str">
            <v>5310</v>
          </cell>
          <cell r="S26" t="str">
            <v>015469032</v>
          </cell>
          <cell r="V26" t="str">
            <v>0000000423</v>
          </cell>
          <cell r="AJ26" t="str">
            <v xml:space="preserve">ABBL </v>
          </cell>
        </row>
        <row r="27">
          <cell r="B27" t="str">
            <v xml:space="preserve">AEFG </v>
          </cell>
          <cell r="D27" t="str">
            <v>F</v>
          </cell>
          <cell r="E27" t="str">
            <v>39428</v>
          </cell>
          <cell r="F27" t="str">
            <v>90576A115</v>
          </cell>
          <cell r="L27" t="str">
            <v>NUT,SELF-LOCKING,HE</v>
          </cell>
          <cell r="R27" t="str">
            <v>5310</v>
          </cell>
          <cell r="S27" t="str">
            <v>014147135</v>
          </cell>
          <cell r="V27" t="str">
            <v>0000000009</v>
          </cell>
          <cell r="AJ27" t="str">
            <v xml:space="preserve">ABBL </v>
          </cell>
        </row>
        <row r="28">
          <cell r="B28" t="str">
            <v xml:space="preserve">AEMC </v>
          </cell>
          <cell r="D28" t="str">
            <v>F</v>
          </cell>
          <cell r="E28" t="str">
            <v>0UJB5</v>
          </cell>
          <cell r="F28" t="str">
            <v>NI946</v>
          </cell>
          <cell r="L28" t="str">
            <v>ADAPTER,STRAIGHT,PI</v>
          </cell>
          <cell r="R28" t="str">
            <v>4730</v>
          </cell>
          <cell r="S28" t="str">
            <v>015475410</v>
          </cell>
          <cell r="V28" t="str">
            <v>0000001322</v>
          </cell>
          <cell r="AJ28" t="str">
            <v xml:space="preserve">ABBL </v>
          </cell>
        </row>
        <row r="29">
          <cell r="B29" t="str">
            <v xml:space="preserve">AES8 </v>
          </cell>
          <cell r="D29" t="str">
            <v>F</v>
          </cell>
          <cell r="E29" t="str">
            <v>0UJB5</v>
          </cell>
          <cell r="F29" t="str">
            <v>RS967</v>
          </cell>
          <cell r="L29" t="str">
            <v>ELBOW,PIPE TO TUBE</v>
          </cell>
          <cell r="R29" t="str">
            <v>4730</v>
          </cell>
          <cell r="S29" t="str">
            <v>015470026</v>
          </cell>
          <cell r="V29" t="str">
            <v>0000003188</v>
          </cell>
          <cell r="AJ29" t="str">
            <v xml:space="preserve">ABBL </v>
          </cell>
        </row>
        <row r="30">
          <cell r="B30" t="str">
            <v xml:space="preserve">AEY4 </v>
          </cell>
          <cell r="D30" t="str">
            <v>F</v>
          </cell>
          <cell r="E30" t="str">
            <v>0UJB5</v>
          </cell>
          <cell r="F30" t="str">
            <v>RV906</v>
          </cell>
          <cell r="L30" t="str">
            <v>ADAPTER,STRAIGHT,PI</v>
          </cell>
          <cell r="R30" t="str">
            <v>4730</v>
          </cell>
          <cell r="S30" t="str">
            <v>015475011</v>
          </cell>
          <cell r="V30" t="str">
            <v>0000003192</v>
          </cell>
          <cell r="AJ30" t="str">
            <v xml:space="preserve">ABBL </v>
          </cell>
        </row>
        <row r="31">
          <cell r="B31" t="str">
            <v xml:space="preserve">AE40 </v>
          </cell>
          <cell r="D31" t="str">
            <v>F</v>
          </cell>
          <cell r="E31" t="str">
            <v>0UJB5</v>
          </cell>
          <cell r="F31" t="str">
            <v>MIL-001-540</v>
          </cell>
          <cell r="L31" t="str">
            <v>TUBE ASSEMBLY,METAL</v>
          </cell>
          <cell r="R31" t="str">
            <v>4710</v>
          </cell>
          <cell r="S31" t="str">
            <v>015667880</v>
          </cell>
          <cell r="V31" t="str">
            <v>0000004871</v>
          </cell>
          <cell r="AJ31" t="str">
            <v xml:space="preserve">ABBL </v>
          </cell>
        </row>
        <row r="32">
          <cell r="B32" t="str">
            <v xml:space="preserve">AFAW </v>
          </cell>
          <cell r="D32" t="str">
            <v>F</v>
          </cell>
          <cell r="E32" t="str">
            <v>0UJB5</v>
          </cell>
          <cell r="F32" t="str">
            <v>MIL-001-541</v>
          </cell>
          <cell r="L32" t="str">
            <v>TUBE ASSEMBLY,METAL</v>
          </cell>
          <cell r="R32" t="str">
            <v>4710</v>
          </cell>
          <cell r="S32" t="str">
            <v>015667882</v>
          </cell>
          <cell r="V32" t="str">
            <v>0000008497</v>
          </cell>
          <cell r="AJ32" t="str">
            <v xml:space="preserve">ABBL </v>
          </cell>
        </row>
        <row r="33">
          <cell r="B33" t="str">
            <v xml:space="preserve">AFGS </v>
          </cell>
          <cell r="D33" t="str">
            <v>F</v>
          </cell>
          <cell r="E33" t="str">
            <v>0UJB5</v>
          </cell>
          <cell r="F33" t="str">
            <v>MIL-001-542</v>
          </cell>
          <cell r="L33" t="str">
            <v>ELBOW,TUBE TO HOSE</v>
          </cell>
          <cell r="R33" t="str">
            <v>4730</v>
          </cell>
          <cell r="S33" t="str">
            <v>015677861</v>
          </cell>
          <cell r="V33" t="str">
            <v>0000002542</v>
          </cell>
          <cell r="AJ33" t="str">
            <v xml:space="preserve">ABBL </v>
          </cell>
        </row>
        <row r="34">
          <cell r="B34" t="str">
            <v xml:space="preserve">AFNN </v>
          </cell>
          <cell r="D34" t="str">
            <v>F</v>
          </cell>
          <cell r="E34" t="str">
            <v>0UJB5</v>
          </cell>
          <cell r="F34" t="str">
            <v>RR808</v>
          </cell>
          <cell r="L34" t="str">
            <v>WASHER,LOCK</v>
          </cell>
          <cell r="R34" t="str">
            <v>5310</v>
          </cell>
          <cell r="S34" t="str">
            <v>015474408</v>
          </cell>
          <cell r="V34" t="str">
            <v>0000000167</v>
          </cell>
          <cell r="AJ34" t="str">
            <v xml:space="preserve">ABBL </v>
          </cell>
        </row>
        <row r="35">
          <cell r="B35" t="str">
            <v xml:space="preserve">AFUJ </v>
          </cell>
          <cell r="D35" t="str">
            <v>F</v>
          </cell>
          <cell r="E35" t="str">
            <v>0UJB5</v>
          </cell>
          <cell r="F35" t="str">
            <v>TA737</v>
          </cell>
          <cell r="L35" t="str">
            <v>PLUG,PIPE</v>
          </cell>
          <cell r="R35" t="str">
            <v>4730</v>
          </cell>
          <cell r="S35" t="str">
            <v>015469162</v>
          </cell>
          <cell r="V35" t="str">
            <v>0000000763</v>
          </cell>
          <cell r="AJ35" t="str">
            <v xml:space="preserve">ABBL </v>
          </cell>
        </row>
        <row r="36">
          <cell r="B36" t="str">
            <v xml:space="preserve">AF0E </v>
          </cell>
          <cell r="D36" t="str">
            <v>F</v>
          </cell>
          <cell r="E36" t="str">
            <v>0UJB5</v>
          </cell>
          <cell r="F36" t="str">
            <v>IN845</v>
          </cell>
          <cell r="L36" t="str">
            <v>FITTING,LUBRICATION</v>
          </cell>
          <cell r="R36" t="str">
            <v>4730</v>
          </cell>
          <cell r="S36" t="str">
            <v>015474478</v>
          </cell>
          <cell r="V36" t="str">
            <v>0000000344</v>
          </cell>
          <cell r="AJ36" t="str">
            <v xml:space="preserve">ABBL </v>
          </cell>
        </row>
        <row r="37">
          <cell r="B37" t="str">
            <v xml:space="preserve">AF6A </v>
          </cell>
          <cell r="D37" t="str">
            <v>E</v>
          </cell>
          <cell r="E37" t="str">
            <v>0UJB5</v>
          </cell>
          <cell r="F37" t="str">
            <v>MIL-001-491</v>
          </cell>
          <cell r="L37" t="str">
            <v>HOSE ASSEMBLY,NONME</v>
          </cell>
          <cell r="R37" t="str">
            <v>4720</v>
          </cell>
          <cell r="S37" t="str">
            <v>015664218</v>
          </cell>
          <cell r="V37" t="str">
            <v>0000008555</v>
          </cell>
          <cell r="AJ37" t="str">
            <v xml:space="preserve">AATY </v>
          </cell>
        </row>
        <row r="38">
          <cell r="B38" t="str">
            <v xml:space="preserve">AGB6 </v>
          </cell>
          <cell r="D38" t="str">
            <v>E</v>
          </cell>
          <cell r="E38" t="str">
            <v>0UJB5</v>
          </cell>
          <cell r="F38" t="str">
            <v>MIL-001-068</v>
          </cell>
          <cell r="L38" t="str">
            <v>CYLINDER ASSEMBLY,A</v>
          </cell>
          <cell r="R38" t="str">
            <v>3040</v>
          </cell>
          <cell r="S38" t="str">
            <v>015668243</v>
          </cell>
          <cell r="V38" t="str">
            <v>0000076187</v>
          </cell>
          <cell r="AJ38" t="str">
            <v xml:space="preserve">AATY </v>
          </cell>
        </row>
        <row r="39">
          <cell r="B39" t="str">
            <v xml:space="preserve">AGH2 </v>
          </cell>
          <cell r="D39" t="str">
            <v>F</v>
          </cell>
          <cell r="E39" t="str">
            <v>0UJB5</v>
          </cell>
          <cell r="F39" t="str">
            <v>MIL-001-492</v>
          </cell>
          <cell r="L39" t="str">
            <v>CYLINDER ASSEMBLY,A</v>
          </cell>
          <cell r="R39" t="str">
            <v>3040</v>
          </cell>
          <cell r="S39" t="str">
            <v>015733727</v>
          </cell>
          <cell r="V39" t="str">
            <v>0000049202</v>
          </cell>
          <cell r="AJ39" t="str">
            <v xml:space="preserve">AGB6 </v>
          </cell>
        </row>
        <row r="40">
          <cell r="B40" t="str">
            <v xml:space="preserve">AGPY </v>
          </cell>
          <cell r="D40" t="str">
            <v>G</v>
          </cell>
          <cell r="E40" t="str">
            <v>0UJB5</v>
          </cell>
          <cell r="F40" t="str">
            <v>MIL-001-1089</v>
          </cell>
          <cell r="L40" t="str">
            <v>BODY,CYLINDER</v>
          </cell>
          <cell r="R40" t="str">
            <v/>
          </cell>
          <cell r="S40" t="str">
            <v/>
          </cell>
          <cell r="V40" t="str">
            <v>0000016500</v>
          </cell>
          <cell r="AJ40" t="str">
            <v xml:space="preserve">AGH2 </v>
          </cell>
        </row>
        <row r="41">
          <cell r="B41" t="str">
            <v xml:space="preserve">AGVU </v>
          </cell>
          <cell r="D41" t="str">
            <v>G</v>
          </cell>
          <cell r="E41" t="str">
            <v>0UJB5</v>
          </cell>
          <cell r="F41" t="str">
            <v>MIL-001-1090</v>
          </cell>
          <cell r="L41" t="str">
            <v>ROD</v>
          </cell>
          <cell r="R41" t="str">
            <v/>
          </cell>
          <cell r="S41" t="str">
            <v/>
          </cell>
          <cell r="V41" t="str">
            <v>0000052870</v>
          </cell>
          <cell r="AJ41" t="str">
            <v xml:space="preserve">AGH2 </v>
          </cell>
        </row>
        <row r="42">
          <cell r="B42" t="str">
            <v xml:space="preserve">AG1Q </v>
          </cell>
          <cell r="D42" t="str">
            <v>G</v>
          </cell>
          <cell r="E42" t="str">
            <v>0UJB5</v>
          </cell>
          <cell r="F42" t="str">
            <v>MIL-001-1091</v>
          </cell>
          <cell r="L42" t="str">
            <v>SEAL</v>
          </cell>
          <cell r="R42" t="str">
            <v/>
          </cell>
          <cell r="S42" t="str">
            <v/>
          </cell>
          <cell r="V42" t="str">
            <v>0000000830</v>
          </cell>
          <cell r="AJ42" t="str">
            <v xml:space="preserve">AGH2 </v>
          </cell>
        </row>
        <row r="43">
          <cell r="B43" t="str">
            <v xml:space="preserve">AG7L </v>
          </cell>
          <cell r="D43" t="str">
            <v>G</v>
          </cell>
          <cell r="E43" t="str">
            <v>0UJB5</v>
          </cell>
          <cell r="F43" t="str">
            <v>MIL-001-1092</v>
          </cell>
          <cell r="L43" t="str">
            <v>SEAL</v>
          </cell>
          <cell r="R43" t="str">
            <v/>
          </cell>
          <cell r="S43" t="str">
            <v/>
          </cell>
          <cell r="V43" t="str">
            <v>0000001106</v>
          </cell>
          <cell r="AJ43" t="str">
            <v xml:space="preserve">AGH2 </v>
          </cell>
        </row>
        <row r="44">
          <cell r="B44" t="str">
            <v xml:space="preserve">AHDG </v>
          </cell>
          <cell r="D44" t="str">
            <v>G</v>
          </cell>
          <cell r="E44" t="str">
            <v>0UJB5</v>
          </cell>
          <cell r="F44" t="str">
            <v>MIL-001-1093</v>
          </cell>
          <cell r="L44" t="str">
            <v>NUT RING</v>
          </cell>
          <cell r="R44" t="str">
            <v/>
          </cell>
          <cell r="S44" t="str">
            <v/>
          </cell>
          <cell r="V44" t="str">
            <v>0000016831</v>
          </cell>
          <cell r="AJ44" t="str">
            <v xml:space="preserve">AGH2 </v>
          </cell>
        </row>
        <row r="45">
          <cell r="B45" t="str">
            <v xml:space="preserve">AHKC </v>
          </cell>
          <cell r="D45" t="str">
            <v>G</v>
          </cell>
          <cell r="E45" t="str">
            <v>0UJB5</v>
          </cell>
          <cell r="F45" t="str">
            <v>MIL-001-1094</v>
          </cell>
          <cell r="L45" t="str">
            <v>O-RING</v>
          </cell>
          <cell r="R45" t="str">
            <v/>
          </cell>
          <cell r="S45" t="str">
            <v/>
          </cell>
          <cell r="V45" t="str">
            <v>0000000019</v>
          </cell>
          <cell r="AJ45" t="str">
            <v xml:space="preserve">AGH2 </v>
          </cell>
        </row>
        <row r="46">
          <cell r="B46" t="str">
            <v xml:space="preserve">AHQ8 </v>
          </cell>
          <cell r="D46" t="str">
            <v>G</v>
          </cell>
          <cell r="E46" t="str">
            <v>0UJB5</v>
          </cell>
          <cell r="F46" t="str">
            <v>MIL-001-1095</v>
          </cell>
          <cell r="L46" t="str">
            <v>RING, SPLIT</v>
          </cell>
          <cell r="R46" t="str">
            <v/>
          </cell>
          <cell r="S46" t="str">
            <v/>
          </cell>
          <cell r="V46" t="str">
            <v>0000000662</v>
          </cell>
          <cell r="AJ46" t="str">
            <v xml:space="preserve">AGH2 </v>
          </cell>
        </row>
        <row r="47">
          <cell r="B47" t="str">
            <v xml:space="preserve">AHW4 </v>
          </cell>
          <cell r="D47" t="str">
            <v>G</v>
          </cell>
          <cell r="E47" t="str">
            <v>4U211</v>
          </cell>
          <cell r="F47" t="str">
            <v>4307500</v>
          </cell>
          <cell r="L47" t="str">
            <v>SEAL</v>
          </cell>
          <cell r="R47" t="str">
            <v/>
          </cell>
          <cell r="S47" t="str">
            <v/>
          </cell>
          <cell r="V47" t="str">
            <v>0000000417</v>
          </cell>
          <cell r="AJ47" t="str">
            <v xml:space="preserve">AGH2 </v>
          </cell>
        </row>
        <row r="48">
          <cell r="B48" t="str">
            <v xml:space="preserve">AH20 </v>
          </cell>
          <cell r="D48" t="str">
            <v>G</v>
          </cell>
          <cell r="E48" t="str">
            <v>0UJB5</v>
          </cell>
          <cell r="F48" t="str">
            <v>MIL-001-1097</v>
          </cell>
          <cell r="L48" t="str">
            <v>DUST COVER</v>
          </cell>
          <cell r="R48" t="str">
            <v/>
          </cell>
          <cell r="S48" t="str">
            <v/>
          </cell>
          <cell r="V48" t="str">
            <v>0000000181</v>
          </cell>
          <cell r="AJ48" t="str">
            <v xml:space="preserve">AGH2 </v>
          </cell>
        </row>
        <row r="49">
          <cell r="B49" t="str">
            <v xml:space="preserve">AH8W </v>
          </cell>
          <cell r="D49" t="str">
            <v>F</v>
          </cell>
          <cell r="E49" t="str">
            <v>0UJB5</v>
          </cell>
          <cell r="F49" t="str">
            <v>MIL-001-546</v>
          </cell>
          <cell r="L49" t="str">
            <v>NUT,PLAIN,ROUND</v>
          </cell>
          <cell r="R49" t="str">
            <v>5310</v>
          </cell>
          <cell r="S49" t="str">
            <v>015673506</v>
          </cell>
          <cell r="V49" t="str">
            <v>0000000955</v>
          </cell>
          <cell r="AJ49" t="str">
            <v xml:space="preserve">AGB6 </v>
          </cell>
        </row>
        <row r="50">
          <cell r="B50" t="str">
            <v xml:space="preserve">AJES </v>
          </cell>
          <cell r="D50" t="str">
            <v>F</v>
          </cell>
          <cell r="E50" t="str">
            <v>39428</v>
          </cell>
          <cell r="F50" t="str">
            <v>91455A160</v>
          </cell>
          <cell r="L50" t="str">
            <v>WASHER,FLAT</v>
          </cell>
          <cell r="R50" t="str">
            <v>5310</v>
          </cell>
          <cell r="S50" t="str">
            <v>015596998</v>
          </cell>
          <cell r="V50" t="str">
            <v>0000000035</v>
          </cell>
          <cell r="AJ50" t="str">
            <v xml:space="preserve">AGB6 </v>
          </cell>
        </row>
        <row r="51">
          <cell r="B51" t="str">
            <v xml:space="preserve">AJLN </v>
          </cell>
          <cell r="D51" t="str">
            <v>F</v>
          </cell>
          <cell r="E51" t="str">
            <v>39428</v>
          </cell>
          <cell r="F51" t="str">
            <v>90576A147</v>
          </cell>
          <cell r="L51" t="str">
            <v>NUT,SELF-LOCKING,HE</v>
          </cell>
          <cell r="R51" t="str">
            <v>5310</v>
          </cell>
          <cell r="S51" t="str">
            <v>015707536</v>
          </cell>
          <cell r="V51" t="str">
            <v>0000000142</v>
          </cell>
          <cell r="AJ51" t="str">
            <v xml:space="preserve">AGB6 </v>
          </cell>
        </row>
        <row r="52">
          <cell r="B52" t="str">
            <v xml:space="preserve">AJSJ </v>
          </cell>
          <cell r="D52" t="str">
            <v>F</v>
          </cell>
          <cell r="E52" t="str">
            <v>0UJB5</v>
          </cell>
          <cell r="F52" t="str">
            <v>MIL-001-493</v>
          </cell>
          <cell r="L52" t="str">
            <v>VALVE ASSEMBLY</v>
          </cell>
          <cell r="R52" t="str">
            <v>4820</v>
          </cell>
          <cell r="S52" t="str">
            <v>015672344</v>
          </cell>
          <cell r="V52" t="str">
            <v>0000023138</v>
          </cell>
          <cell r="AJ52" t="str">
            <v xml:space="preserve">AGB6 </v>
          </cell>
        </row>
        <row r="53">
          <cell r="B53" t="str">
            <v xml:space="preserve">AJYE </v>
          </cell>
          <cell r="D53" t="str">
            <v>F</v>
          </cell>
          <cell r="E53" t="str">
            <v>1EFH8</v>
          </cell>
          <cell r="F53" t="str">
            <v>3011049</v>
          </cell>
          <cell r="L53" t="str">
            <v>SCREW,CAP,HEXAGON H</v>
          </cell>
          <cell r="R53" t="str">
            <v>5305</v>
          </cell>
          <cell r="S53" t="str">
            <v>015881277</v>
          </cell>
          <cell r="V53" t="str">
            <v>0000000020</v>
          </cell>
          <cell r="AJ53" t="str">
            <v xml:space="preserve">AGB6 </v>
          </cell>
        </row>
        <row r="54">
          <cell r="B54" t="str">
            <v xml:space="preserve">AJ4A </v>
          </cell>
          <cell r="D54" t="str">
            <v>F</v>
          </cell>
          <cell r="E54" t="str">
            <v>0UJB5</v>
          </cell>
          <cell r="F54" t="str">
            <v>RP201</v>
          </cell>
          <cell r="L54" t="str">
            <v>WASHER,FLAT</v>
          </cell>
          <cell r="R54" t="str">
            <v>5310</v>
          </cell>
          <cell r="S54" t="str">
            <v>015469032</v>
          </cell>
          <cell r="V54" t="str">
            <v>0000000423</v>
          </cell>
          <cell r="AJ54" t="str">
            <v xml:space="preserve">AGB6 </v>
          </cell>
        </row>
        <row r="55">
          <cell r="B55" t="str">
            <v xml:space="preserve">AJ96 </v>
          </cell>
          <cell r="D55" t="str">
            <v>F</v>
          </cell>
          <cell r="E55" t="str">
            <v>39428</v>
          </cell>
          <cell r="F55" t="str">
            <v>90576A115</v>
          </cell>
          <cell r="L55" t="str">
            <v>NUT,SELF-LOCKING,HE</v>
          </cell>
          <cell r="R55" t="str">
            <v>5310</v>
          </cell>
          <cell r="S55" t="str">
            <v>014147135</v>
          </cell>
          <cell r="V55" t="str">
            <v>0000000009</v>
          </cell>
          <cell r="AJ55" t="str">
            <v xml:space="preserve">AGB6 </v>
          </cell>
        </row>
        <row r="56">
          <cell r="B56" t="str">
            <v xml:space="preserve">AKF2 </v>
          </cell>
          <cell r="D56" t="str">
            <v>F</v>
          </cell>
          <cell r="E56" t="str">
            <v>0UJB5</v>
          </cell>
          <cell r="F56" t="str">
            <v>NI946</v>
          </cell>
          <cell r="L56" t="str">
            <v>ADAPTER,STRAIGHT,PI</v>
          </cell>
          <cell r="R56" t="str">
            <v>4730</v>
          </cell>
          <cell r="S56" t="str">
            <v>015475410</v>
          </cell>
          <cell r="V56" t="str">
            <v>0000001322</v>
          </cell>
          <cell r="AJ56" t="str">
            <v xml:space="preserve">AGB6 </v>
          </cell>
        </row>
        <row r="57">
          <cell r="B57" t="str">
            <v xml:space="preserve">AKMY </v>
          </cell>
          <cell r="D57" t="str">
            <v>F</v>
          </cell>
          <cell r="E57" t="str">
            <v>0UJB5</v>
          </cell>
          <cell r="F57" t="str">
            <v>MIL-001-553</v>
          </cell>
          <cell r="L57" t="str">
            <v>TUBE ASSEMBLY,METAL</v>
          </cell>
          <cell r="R57" t="str">
            <v>4710</v>
          </cell>
          <cell r="S57" t="str">
            <v>015678264</v>
          </cell>
          <cell r="V57" t="str">
            <v>0000006314</v>
          </cell>
          <cell r="AJ57" t="str">
            <v xml:space="preserve">AGB6 </v>
          </cell>
        </row>
        <row r="58">
          <cell r="B58" t="str">
            <v xml:space="preserve">AKTU </v>
          </cell>
          <cell r="D58" t="str">
            <v>F</v>
          </cell>
          <cell r="E58" t="str">
            <v>0UJB5</v>
          </cell>
          <cell r="F58" t="str">
            <v>MIL-001-554</v>
          </cell>
          <cell r="L58" t="str">
            <v>TUBE ASSEMBLY,METAL</v>
          </cell>
          <cell r="R58" t="str">
            <v>4710</v>
          </cell>
          <cell r="S58" t="str">
            <v>015677862</v>
          </cell>
          <cell r="V58" t="str">
            <v>0000006164</v>
          </cell>
          <cell r="AJ58" t="str">
            <v xml:space="preserve">AGB6 </v>
          </cell>
        </row>
        <row r="59">
          <cell r="B59" t="str">
            <v xml:space="preserve">AKZQ </v>
          </cell>
          <cell r="D59" t="str">
            <v>F</v>
          </cell>
          <cell r="E59" t="str">
            <v>0UJB5</v>
          </cell>
          <cell r="F59" t="str">
            <v>RS967</v>
          </cell>
          <cell r="L59" t="str">
            <v>ELBOW,PIPE TO TUBE</v>
          </cell>
          <cell r="R59" t="str">
            <v>4730</v>
          </cell>
          <cell r="S59" t="str">
            <v>015470026</v>
          </cell>
          <cell r="V59" t="str">
            <v>0000003188</v>
          </cell>
          <cell r="AJ59" t="str">
            <v xml:space="preserve">AGB6 </v>
          </cell>
        </row>
        <row r="60">
          <cell r="B60" t="str">
            <v xml:space="preserve">AK5L </v>
          </cell>
          <cell r="D60" t="str">
            <v>F</v>
          </cell>
          <cell r="E60" t="str">
            <v>0UJB5</v>
          </cell>
          <cell r="F60" t="str">
            <v>MIL-001-556</v>
          </cell>
          <cell r="L60" t="str">
            <v>CLAMP,LOOP</v>
          </cell>
          <cell r="R60" t="str">
            <v>5340</v>
          </cell>
          <cell r="S60" t="str">
            <v>015667889</v>
          </cell>
          <cell r="V60" t="str">
            <v>0000001532</v>
          </cell>
          <cell r="AJ60" t="str">
            <v xml:space="preserve">AGB6 </v>
          </cell>
        </row>
        <row r="61">
          <cell r="B61" t="str">
            <v xml:space="preserve">ALBG </v>
          </cell>
          <cell r="D61" t="str">
            <v>F</v>
          </cell>
          <cell r="E61" t="str">
            <v>0UJB5</v>
          </cell>
          <cell r="F61" t="str">
            <v>MIL-001-557</v>
          </cell>
          <cell r="L61" t="str">
            <v>BRACKET,MOUNTING</v>
          </cell>
          <cell r="R61" t="str">
            <v>5340</v>
          </cell>
          <cell r="S61" t="str">
            <v>015667895</v>
          </cell>
          <cell r="V61" t="str">
            <v>0000000189</v>
          </cell>
          <cell r="AJ61" t="str">
            <v xml:space="preserve">AGB6 </v>
          </cell>
        </row>
        <row r="62">
          <cell r="B62" t="str">
            <v xml:space="preserve">ALHC </v>
          </cell>
          <cell r="D62" t="str">
            <v>E</v>
          </cell>
          <cell r="E62" t="str">
            <v>0UJB5</v>
          </cell>
          <cell r="F62" t="str">
            <v>MIL-001-525</v>
          </cell>
          <cell r="L62" t="str">
            <v>HOSE ASSEMBLY,NONME</v>
          </cell>
          <cell r="R62" t="str">
            <v>4720</v>
          </cell>
          <cell r="S62" t="str">
            <v>015663936</v>
          </cell>
          <cell r="V62" t="str">
            <v>0000016363</v>
          </cell>
          <cell r="AJ62" t="str">
            <v xml:space="preserve">AATY </v>
          </cell>
        </row>
        <row r="63">
          <cell r="B63" t="str">
            <v xml:space="preserve">ALN8 </v>
          </cell>
          <cell r="D63" t="str">
            <v>E</v>
          </cell>
          <cell r="E63" t="str">
            <v>0UJB5</v>
          </cell>
          <cell r="F63" t="str">
            <v>MIL-001-495</v>
          </cell>
          <cell r="L63" t="str">
            <v>HOSE ASSEMBLY,NONME</v>
          </cell>
          <cell r="R63" t="str">
            <v>4720</v>
          </cell>
          <cell r="S63" t="str">
            <v>015662582</v>
          </cell>
          <cell r="V63" t="str">
            <v>0000007044</v>
          </cell>
          <cell r="AJ63" t="str">
            <v xml:space="preserve">AATY </v>
          </cell>
        </row>
        <row r="64">
          <cell r="B64" t="str">
            <v xml:space="preserve">ALU4 </v>
          </cell>
          <cell r="D64" t="str">
            <v>E</v>
          </cell>
          <cell r="E64" t="str">
            <v>0UJB5</v>
          </cell>
          <cell r="F64" t="str">
            <v>MIL-001-069</v>
          </cell>
          <cell r="L64" t="str">
            <v>CYLINDER ASSEMBLY,A</v>
          </cell>
          <cell r="R64" t="str">
            <v>3040</v>
          </cell>
          <cell r="S64" t="str">
            <v>015666984</v>
          </cell>
          <cell r="V64" t="str">
            <v>0000076187</v>
          </cell>
          <cell r="AJ64" t="str">
            <v xml:space="preserve">AATY </v>
          </cell>
        </row>
        <row r="65">
          <cell r="B65" t="str">
            <v xml:space="preserve">AL00 </v>
          </cell>
          <cell r="D65" t="str">
            <v>F</v>
          </cell>
          <cell r="E65" t="str">
            <v>0UJB5</v>
          </cell>
          <cell r="F65" t="str">
            <v>MIL-001-492</v>
          </cell>
          <cell r="L65" t="str">
            <v>CYLINDER ASSEMBLY,A</v>
          </cell>
          <cell r="R65" t="str">
            <v>3040</v>
          </cell>
          <cell r="S65" t="str">
            <v>015733727</v>
          </cell>
          <cell r="V65" t="str">
            <v>0000049202</v>
          </cell>
          <cell r="AJ65" t="str">
            <v xml:space="preserve">ALU4 </v>
          </cell>
        </row>
        <row r="66">
          <cell r="B66" t="str">
            <v xml:space="preserve">AL6W </v>
          </cell>
          <cell r="D66" t="str">
            <v>G</v>
          </cell>
          <cell r="E66" t="str">
            <v>0UJB5</v>
          </cell>
          <cell r="F66" t="str">
            <v>MIL-001-1089</v>
          </cell>
          <cell r="L66" t="str">
            <v>BODY,CYLINDER</v>
          </cell>
          <cell r="R66" t="str">
            <v/>
          </cell>
          <cell r="S66" t="str">
            <v/>
          </cell>
          <cell r="V66" t="str">
            <v>0000016500</v>
          </cell>
          <cell r="AJ66" t="str">
            <v xml:space="preserve">AL00 </v>
          </cell>
        </row>
        <row r="67">
          <cell r="B67" t="str">
            <v xml:space="preserve">AMCS </v>
          </cell>
          <cell r="D67" t="str">
            <v>G</v>
          </cell>
          <cell r="E67" t="str">
            <v>0UJB5</v>
          </cell>
          <cell r="F67" t="str">
            <v>MIL-001-1090</v>
          </cell>
          <cell r="L67" t="str">
            <v>ROD</v>
          </cell>
          <cell r="R67" t="str">
            <v/>
          </cell>
          <cell r="S67" t="str">
            <v/>
          </cell>
          <cell r="V67" t="str">
            <v>0000052870</v>
          </cell>
          <cell r="AJ67" t="str">
            <v xml:space="preserve">AL00 </v>
          </cell>
        </row>
        <row r="68">
          <cell r="B68" t="str">
            <v xml:space="preserve">AMJN </v>
          </cell>
          <cell r="D68" t="str">
            <v>G</v>
          </cell>
          <cell r="E68" t="str">
            <v>0UJB5</v>
          </cell>
          <cell r="F68" t="str">
            <v>MIL-001-1091</v>
          </cell>
          <cell r="L68" t="str">
            <v>SEAL</v>
          </cell>
          <cell r="R68" t="str">
            <v/>
          </cell>
          <cell r="S68" t="str">
            <v/>
          </cell>
          <cell r="V68" t="str">
            <v>0000000830</v>
          </cell>
          <cell r="AJ68" t="str">
            <v xml:space="preserve">AL00 </v>
          </cell>
        </row>
        <row r="69">
          <cell r="B69" t="str">
            <v xml:space="preserve">AMQJ </v>
          </cell>
          <cell r="D69" t="str">
            <v>G</v>
          </cell>
          <cell r="E69" t="str">
            <v>0UJB5</v>
          </cell>
          <cell r="F69" t="str">
            <v>MIL-001-1092</v>
          </cell>
          <cell r="L69" t="str">
            <v>SEAL</v>
          </cell>
          <cell r="R69" t="str">
            <v/>
          </cell>
          <cell r="S69" t="str">
            <v/>
          </cell>
          <cell r="V69" t="str">
            <v>0000001106</v>
          </cell>
          <cell r="AJ69" t="str">
            <v xml:space="preserve">AL00 </v>
          </cell>
        </row>
        <row r="70">
          <cell r="B70" t="str">
            <v xml:space="preserve">AMWE </v>
          </cell>
          <cell r="D70" t="str">
            <v>G</v>
          </cell>
          <cell r="E70" t="str">
            <v>0UJB5</v>
          </cell>
          <cell r="F70" t="str">
            <v>MIL-001-1093</v>
          </cell>
          <cell r="L70" t="str">
            <v>NUT RING</v>
          </cell>
          <cell r="R70" t="str">
            <v/>
          </cell>
          <cell r="S70" t="str">
            <v/>
          </cell>
          <cell r="V70" t="str">
            <v>0000016831</v>
          </cell>
          <cell r="AJ70" t="str">
            <v xml:space="preserve">AL00 </v>
          </cell>
        </row>
        <row r="71">
          <cell r="B71" t="str">
            <v xml:space="preserve">AM2A </v>
          </cell>
          <cell r="D71" t="str">
            <v>G</v>
          </cell>
          <cell r="E71" t="str">
            <v>0UJB5</v>
          </cell>
          <cell r="F71" t="str">
            <v>MIL-001-1094</v>
          </cell>
          <cell r="L71" t="str">
            <v>O-RING</v>
          </cell>
          <cell r="R71" t="str">
            <v/>
          </cell>
          <cell r="S71" t="str">
            <v/>
          </cell>
          <cell r="V71" t="str">
            <v>0000000019</v>
          </cell>
          <cell r="AJ71" t="str">
            <v xml:space="preserve">AL00 </v>
          </cell>
        </row>
        <row r="72">
          <cell r="B72" t="str">
            <v xml:space="preserve">AM76 </v>
          </cell>
          <cell r="D72" t="str">
            <v>G</v>
          </cell>
          <cell r="E72" t="str">
            <v>0UJB5</v>
          </cell>
          <cell r="F72" t="str">
            <v>MIL-001-1095</v>
          </cell>
          <cell r="L72" t="str">
            <v>RING, SPLIT</v>
          </cell>
          <cell r="R72" t="str">
            <v/>
          </cell>
          <cell r="S72" t="str">
            <v/>
          </cell>
          <cell r="V72" t="str">
            <v>0000000662</v>
          </cell>
          <cell r="AJ72" t="str">
            <v xml:space="preserve">AL00 </v>
          </cell>
        </row>
        <row r="73">
          <cell r="B73" t="str">
            <v xml:space="preserve">AND2 </v>
          </cell>
          <cell r="D73" t="str">
            <v>G</v>
          </cell>
          <cell r="E73" t="str">
            <v>4U211</v>
          </cell>
          <cell r="F73" t="str">
            <v>4307500</v>
          </cell>
          <cell r="L73" t="str">
            <v>SEAL</v>
          </cell>
          <cell r="R73" t="str">
            <v/>
          </cell>
          <cell r="S73" t="str">
            <v/>
          </cell>
          <cell r="V73" t="str">
            <v>0000000417</v>
          </cell>
          <cell r="AJ73" t="str">
            <v xml:space="preserve">AL00 </v>
          </cell>
        </row>
        <row r="74">
          <cell r="B74" t="str">
            <v xml:space="preserve">ANKY </v>
          </cell>
          <cell r="D74" t="str">
            <v>G</v>
          </cell>
          <cell r="E74" t="str">
            <v>0UJB5</v>
          </cell>
          <cell r="F74" t="str">
            <v>MIL-001-1097</v>
          </cell>
          <cell r="L74" t="str">
            <v>DUST COVER</v>
          </cell>
          <cell r="R74" t="str">
            <v/>
          </cell>
          <cell r="S74" t="str">
            <v/>
          </cell>
          <cell r="V74" t="str">
            <v>0000000181</v>
          </cell>
          <cell r="AJ74" t="str">
            <v xml:space="preserve">AL00 </v>
          </cell>
        </row>
        <row r="75">
          <cell r="B75" t="str">
            <v xml:space="preserve">ANRU </v>
          </cell>
          <cell r="D75" t="str">
            <v>F</v>
          </cell>
          <cell r="E75" t="str">
            <v>0UJB5</v>
          </cell>
          <cell r="F75" t="str">
            <v>MIL-001-546</v>
          </cell>
          <cell r="L75" t="str">
            <v>NUT,PLAIN,ROUND</v>
          </cell>
          <cell r="R75" t="str">
            <v>5310</v>
          </cell>
          <cell r="S75" t="str">
            <v>015673506</v>
          </cell>
          <cell r="V75" t="str">
            <v>0000000955</v>
          </cell>
          <cell r="AJ75" t="str">
            <v xml:space="preserve">ALU4 </v>
          </cell>
        </row>
        <row r="76">
          <cell r="B76" t="str">
            <v xml:space="preserve">ANXQ </v>
          </cell>
          <cell r="D76" t="str">
            <v>F</v>
          </cell>
          <cell r="E76" t="str">
            <v>39428</v>
          </cell>
          <cell r="F76" t="str">
            <v>91455A160</v>
          </cell>
          <cell r="L76" t="str">
            <v>WASHER,FLAT</v>
          </cell>
          <cell r="R76" t="str">
            <v>5310</v>
          </cell>
          <cell r="S76" t="str">
            <v>015596998</v>
          </cell>
          <cell r="V76" t="str">
            <v>0000000035</v>
          </cell>
          <cell r="AJ76" t="str">
            <v xml:space="preserve">ALU4 </v>
          </cell>
        </row>
        <row r="77">
          <cell r="B77" t="str">
            <v xml:space="preserve">AN3L </v>
          </cell>
          <cell r="D77" t="str">
            <v>F</v>
          </cell>
          <cell r="E77" t="str">
            <v>39428</v>
          </cell>
          <cell r="F77" t="str">
            <v>90576A147</v>
          </cell>
          <cell r="L77" t="str">
            <v>NUT,SELF-LOCKING,HE</v>
          </cell>
          <cell r="R77" t="str">
            <v>5310</v>
          </cell>
          <cell r="S77" t="str">
            <v>015707536</v>
          </cell>
          <cell r="V77" t="str">
            <v>0000000142</v>
          </cell>
          <cell r="AJ77" t="str">
            <v xml:space="preserve">ALU4 </v>
          </cell>
        </row>
        <row r="78">
          <cell r="B78" t="str">
            <v xml:space="preserve">AN9G </v>
          </cell>
          <cell r="D78" t="str">
            <v>F</v>
          </cell>
          <cell r="E78" t="str">
            <v>0UJB5</v>
          </cell>
          <cell r="F78" t="str">
            <v>MIL-001-493</v>
          </cell>
          <cell r="L78" t="str">
            <v>VALVE ASSEMBLY</v>
          </cell>
          <cell r="R78" t="str">
            <v>4820</v>
          </cell>
          <cell r="S78" t="str">
            <v>015672344</v>
          </cell>
          <cell r="V78" t="str">
            <v>0000023138</v>
          </cell>
          <cell r="AJ78" t="str">
            <v xml:space="preserve">ALU4 </v>
          </cell>
        </row>
        <row r="79">
          <cell r="B79" t="str">
            <v xml:space="preserve">APFC </v>
          </cell>
          <cell r="D79" t="str">
            <v>F</v>
          </cell>
          <cell r="E79" t="str">
            <v>1EFH8</v>
          </cell>
          <cell r="F79" t="str">
            <v>3011049</v>
          </cell>
          <cell r="L79" t="str">
            <v>SCREW,CAP,HEXAGON H</v>
          </cell>
          <cell r="R79" t="str">
            <v>5305</v>
          </cell>
          <cell r="S79" t="str">
            <v>015881277</v>
          </cell>
          <cell r="V79" t="str">
            <v>0000000020</v>
          </cell>
          <cell r="AJ79" t="str">
            <v xml:space="preserve">ALU4 </v>
          </cell>
        </row>
        <row r="80">
          <cell r="B80" t="str">
            <v xml:space="preserve">APL8 </v>
          </cell>
          <cell r="D80" t="str">
            <v>F</v>
          </cell>
          <cell r="E80" t="str">
            <v>0UJB5</v>
          </cell>
          <cell r="F80" t="str">
            <v>RP201</v>
          </cell>
          <cell r="L80" t="str">
            <v>WASHER,FLAT</v>
          </cell>
          <cell r="R80" t="str">
            <v>5310</v>
          </cell>
          <cell r="S80" t="str">
            <v>015469032</v>
          </cell>
          <cell r="V80" t="str">
            <v>0000000423</v>
          </cell>
          <cell r="AJ80" t="str">
            <v xml:space="preserve">ALU4 </v>
          </cell>
        </row>
        <row r="81">
          <cell r="B81" t="str">
            <v xml:space="preserve">APS4 </v>
          </cell>
          <cell r="D81" t="str">
            <v>F</v>
          </cell>
          <cell r="E81" t="str">
            <v>39428</v>
          </cell>
          <cell r="F81" t="str">
            <v>90576A115</v>
          </cell>
          <cell r="L81" t="str">
            <v>NUT,SELF-LOCKING,HE</v>
          </cell>
          <cell r="R81" t="str">
            <v>5310</v>
          </cell>
          <cell r="S81" t="str">
            <v>014147135</v>
          </cell>
          <cell r="V81" t="str">
            <v>0000000009</v>
          </cell>
          <cell r="AJ81" t="str">
            <v xml:space="preserve">ALU4 </v>
          </cell>
        </row>
        <row r="82">
          <cell r="B82" t="str">
            <v xml:space="preserve">APY0 </v>
          </cell>
          <cell r="D82" t="str">
            <v>F</v>
          </cell>
          <cell r="E82" t="str">
            <v>0UJB5</v>
          </cell>
          <cell r="F82" t="str">
            <v>NI946</v>
          </cell>
          <cell r="L82" t="str">
            <v>ADAPTER,STRAIGHT,PI</v>
          </cell>
          <cell r="R82" t="str">
            <v>4730</v>
          </cell>
          <cell r="S82" t="str">
            <v>015475410</v>
          </cell>
          <cell r="V82" t="str">
            <v>0000001322</v>
          </cell>
          <cell r="AJ82" t="str">
            <v xml:space="preserve">ALU4 </v>
          </cell>
        </row>
        <row r="83">
          <cell r="B83" t="str">
            <v xml:space="preserve">AP4W </v>
          </cell>
          <cell r="D83" t="str">
            <v>F</v>
          </cell>
          <cell r="E83" t="str">
            <v>0UJB5</v>
          </cell>
          <cell r="F83" t="str">
            <v>MIL-001-553</v>
          </cell>
          <cell r="L83" t="str">
            <v>TUBE ASSEMBLY,METAL</v>
          </cell>
          <cell r="R83" t="str">
            <v>4710</v>
          </cell>
          <cell r="S83" t="str">
            <v>015678264</v>
          </cell>
          <cell r="V83" t="str">
            <v>0000006314</v>
          </cell>
          <cell r="AJ83" t="str">
            <v xml:space="preserve">ALU4 </v>
          </cell>
        </row>
        <row r="84">
          <cell r="B84" t="str">
            <v xml:space="preserve">AQAS </v>
          </cell>
          <cell r="D84" t="str">
            <v>F</v>
          </cell>
          <cell r="E84" t="str">
            <v>0UJB5</v>
          </cell>
          <cell r="F84" t="str">
            <v>MIL-001-554</v>
          </cell>
          <cell r="L84" t="str">
            <v>TUBE ASSEMBLY,METAL</v>
          </cell>
          <cell r="R84" t="str">
            <v>4710</v>
          </cell>
          <cell r="S84" t="str">
            <v>015677862</v>
          </cell>
          <cell r="V84" t="str">
            <v>0000006164</v>
          </cell>
          <cell r="AJ84" t="str">
            <v xml:space="preserve">ALU4 </v>
          </cell>
        </row>
        <row r="85">
          <cell r="B85" t="str">
            <v xml:space="preserve">AQGN </v>
          </cell>
          <cell r="D85" t="str">
            <v>F</v>
          </cell>
          <cell r="E85" t="str">
            <v>0UJB5</v>
          </cell>
          <cell r="F85" t="str">
            <v>MIL-001-556</v>
          </cell>
          <cell r="L85" t="str">
            <v>CLAMP,LOOP</v>
          </cell>
          <cell r="R85" t="str">
            <v>5340</v>
          </cell>
          <cell r="S85" t="str">
            <v>015667889</v>
          </cell>
          <cell r="V85" t="str">
            <v>0000001532</v>
          </cell>
          <cell r="AJ85" t="str">
            <v xml:space="preserve">ALU4 </v>
          </cell>
        </row>
        <row r="86">
          <cell r="B86" t="str">
            <v xml:space="preserve">AQNJ </v>
          </cell>
          <cell r="D86" t="str">
            <v>F</v>
          </cell>
          <cell r="E86" t="str">
            <v>0UJB5</v>
          </cell>
          <cell r="F86" t="str">
            <v>MIL-001-557</v>
          </cell>
          <cell r="L86" t="str">
            <v>BRACKET,MOUNTING</v>
          </cell>
          <cell r="R86" t="str">
            <v>5340</v>
          </cell>
          <cell r="S86" t="str">
            <v>015667895</v>
          </cell>
          <cell r="V86" t="str">
            <v>0000000189</v>
          </cell>
          <cell r="AJ86" t="str">
            <v xml:space="preserve">ALU4 </v>
          </cell>
        </row>
        <row r="87">
          <cell r="B87" t="str">
            <v xml:space="preserve">AQUE </v>
          </cell>
          <cell r="D87" t="str">
            <v>E</v>
          </cell>
          <cell r="E87" t="str">
            <v>0UJB5</v>
          </cell>
          <cell r="F87" t="str">
            <v>MIL-001-497</v>
          </cell>
          <cell r="L87" t="str">
            <v>TUBE ASSEMBLY,METAL</v>
          </cell>
          <cell r="R87" t="str">
            <v>4710</v>
          </cell>
          <cell r="S87" t="str">
            <v>015660660</v>
          </cell>
          <cell r="V87" t="str">
            <v>0000006960</v>
          </cell>
          <cell r="AJ87" t="str">
            <v xml:space="preserve">AATY </v>
          </cell>
        </row>
        <row r="88">
          <cell r="B88" t="str">
            <v xml:space="preserve">AQ0A </v>
          </cell>
          <cell r="D88" t="str">
            <v>E</v>
          </cell>
          <cell r="E88" t="str">
            <v>0UJB5</v>
          </cell>
          <cell r="F88" t="str">
            <v>MIL-001-496</v>
          </cell>
          <cell r="L88" t="str">
            <v>HOSE ASSEMBLY,NONME</v>
          </cell>
          <cell r="R88" t="str">
            <v>4720</v>
          </cell>
          <cell r="S88" t="str">
            <v>015663879</v>
          </cell>
          <cell r="V88" t="str">
            <v>0000010375</v>
          </cell>
          <cell r="AJ88" t="str">
            <v xml:space="preserve">AATY </v>
          </cell>
        </row>
        <row r="89">
          <cell r="B89" t="str">
            <v xml:space="preserve">AQ56 </v>
          </cell>
          <cell r="D89" t="str">
            <v>E</v>
          </cell>
          <cell r="E89" t="str">
            <v>0UJB5</v>
          </cell>
          <cell r="F89" t="str">
            <v>MIL-001-511</v>
          </cell>
          <cell r="L89" t="str">
            <v>HOSE ASSEMBLY,NONME</v>
          </cell>
          <cell r="R89" t="str">
            <v>4720</v>
          </cell>
          <cell r="S89" t="str">
            <v>015664231</v>
          </cell>
          <cell r="V89" t="str">
            <v>0000009840</v>
          </cell>
          <cell r="AJ89" t="str">
            <v xml:space="preserve">AATY </v>
          </cell>
        </row>
        <row r="90">
          <cell r="B90" t="str">
            <v xml:space="preserve">ARB2 </v>
          </cell>
          <cell r="D90" t="str">
            <v>E</v>
          </cell>
          <cell r="E90" t="str">
            <v>0UJB5</v>
          </cell>
          <cell r="F90" t="str">
            <v>MIL-001-500</v>
          </cell>
          <cell r="L90" t="str">
            <v>NIPPLE,TUBE</v>
          </cell>
          <cell r="R90" t="str">
            <v>4730</v>
          </cell>
          <cell r="S90" t="str">
            <v>015659169</v>
          </cell>
          <cell r="V90" t="str">
            <v>0000001773</v>
          </cell>
          <cell r="AJ90" t="str">
            <v xml:space="preserve">AATY </v>
          </cell>
        </row>
        <row r="91">
          <cell r="B91" t="str">
            <v xml:space="preserve">ARHY </v>
          </cell>
          <cell r="D91" t="str">
            <v>E</v>
          </cell>
          <cell r="E91" t="str">
            <v>0UJB5</v>
          </cell>
          <cell r="F91" t="str">
            <v>MIL-001-507</v>
          </cell>
          <cell r="L91" t="str">
            <v>HOSE ASSEMBLY,NONME</v>
          </cell>
          <cell r="R91" t="str">
            <v>4720</v>
          </cell>
          <cell r="S91" t="str">
            <v>015667956</v>
          </cell>
          <cell r="V91" t="str">
            <v>0000018992</v>
          </cell>
          <cell r="AJ91" t="str">
            <v xml:space="preserve">AATY </v>
          </cell>
        </row>
        <row r="92">
          <cell r="B92" t="str">
            <v xml:space="preserve">ARPU </v>
          </cell>
          <cell r="D92" t="str">
            <v>E</v>
          </cell>
          <cell r="E92" t="str">
            <v>0UJB5</v>
          </cell>
          <cell r="F92" t="str">
            <v>MIL-001-555</v>
          </cell>
          <cell r="L92" t="str">
            <v>BRACKET,MOUNTING</v>
          </cell>
          <cell r="R92" t="str">
            <v>5340</v>
          </cell>
          <cell r="S92" t="str">
            <v>015659367</v>
          </cell>
          <cell r="V92" t="str">
            <v>0000050803</v>
          </cell>
          <cell r="AJ92" t="str">
            <v xml:space="preserve">AATY </v>
          </cell>
        </row>
        <row r="93">
          <cell r="B93" t="str">
            <v xml:space="preserve">ARVQ </v>
          </cell>
          <cell r="D93" t="str">
            <v>F</v>
          </cell>
          <cell r="E93" t="str">
            <v>0UJB5</v>
          </cell>
          <cell r="F93" t="str">
            <v>MIL-001-503</v>
          </cell>
          <cell r="L93" t="str">
            <v>BRACKET,DOUBLE ANGL</v>
          </cell>
          <cell r="R93" t="str">
            <v>5340</v>
          </cell>
          <cell r="S93" t="str">
            <v>015659392</v>
          </cell>
          <cell r="V93" t="str">
            <v>0000014965</v>
          </cell>
          <cell r="AJ93" t="str">
            <v xml:space="preserve">ARPU </v>
          </cell>
        </row>
        <row r="94">
          <cell r="B94" t="str">
            <v xml:space="preserve">AR1L </v>
          </cell>
          <cell r="D94" t="str">
            <v>F</v>
          </cell>
          <cell r="E94" t="str">
            <v>0UJB5</v>
          </cell>
          <cell r="F94" t="str">
            <v>MIL-001-558</v>
          </cell>
          <cell r="L94" t="str">
            <v>WASHER,FLAT</v>
          </cell>
          <cell r="R94" t="str">
            <v>5310</v>
          </cell>
          <cell r="S94" t="str">
            <v>015661475</v>
          </cell>
          <cell r="V94" t="str">
            <v>0000000936</v>
          </cell>
          <cell r="AJ94" t="str">
            <v xml:space="preserve">ARPU </v>
          </cell>
        </row>
        <row r="95">
          <cell r="B95" t="str">
            <v xml:space="preserve">AR7G </v>
          </cell>
          <cell r="D95" t="str">
            <v>F</v>
          </cell>
          <cell r="E95" t="str">
            <v>0UJB5</v>
          </cell>
          <cell r="F95" t="str">
            <v>MIL-001-560</v>
          </cell>
          <cell r="L95" t="str">
            <v>SCREW,CAP,HEXAGON H</v>
          </cell>
          <cell r="R95" t="str">
            <v>5305</v>
          </cell>
          <cell r="S95" t="str">
            <v>015657982</v>
          </cell>
          <cell r="V95" t="str">
            <v>0000000343</v>
          </cell>
          <cell r="AJ95" t="str">
            <v xml:space="preserve">ARPU </v>
          </cell>
        </row>
        <row r="96">
          <cell r="B96" t="str">
            <v xml:space="preserve">ASDC </v>
          </cell>
          <cell r="D96" t="str">
            <v>F</v>
          </cell>
          <cell r="E96" t="str">
            <v>39428</v>
          </cell>
          <cell r="F96" t="str">
            <v>90576A115</v>
          </cell>
          <cell r="L96" t="str">
            <v>NUT,SELF-LOCKING,HE</v>
          </cell>
          <cell r="R96" t="str">
            <v>5310</v>
          </cell>
          <cell r="S96" t="str">
            <v>014147135</v>
          </cell>
          <cell r="V96" t="str">
            <v>0000000009</v>
          </cell>
          <cell r="AJ96" t="str">
            <v xml:space="preserve">ARPU </v>
          </cell>
        </row>
        <row r="97">
          <cell r="B97" t="str">
            <v xml:space="preserve">ASJ8 </v>
          </cell>
          <cell r="D97" t="str">
            <v>F</v>
          </cell>
          <cell r="E97" t="str">
            <v>0UJB5</v>
          </cell>
          <cell r="F97" t="str">
            <v>MIL-001-562</v>
          </cell>
          <cell r="L97" t="str">
            <v>BRACKET,MOUNTING</v>
          </cell>
          <cell r="R97" t="str">
            <v/>
          </cell>
          <cell r="S97" t="str">
            <v/>
          </cell>
          <cell r="V97" t="str">
            <v>0000003363</v>
          </cell>
          <cell r="AJ97" t="str">
            <v xml:space="preserve">ARPU </v>
          </cell>
        </row>
        <row r="98">
          <cell r="B98" t="str">
            <v xml:space="preserve">ASQ4 </v>
          </cell>
          <cell r="D98" t="str">
            <v>F</v>
          </cell>
          <cell r="E98" t="str">
            <v>0Y3H3</v>
          </cell>
          <cell r="F98" t="str">
            <v>0153974</v>
          </cell>
          <cell r="L98" t="str">
            <v>SCREW,CAP,HEXAGON H</v>
          </cell>
          <cell r="R98" t="str">
            <v>5305</v>
          </cell>
          <cell r="S98" t="str">
            <v>015502085</v>
          </cell>
          <cell r="V98" t="str">
            <v>0000000013</v>
          </cell>
          <cell r="AJ98" t="str">
            <v xml:space="preserve">ARPU </v>
          </cell>
        </row>
        <row r="99">
          <cell r="B99" t="str">
            <v xml:space="preserve">ASW0 </v>
          </cell>
          <cell r="D99" t="str">
            <v>F</v>
          </cell>
          <cell r="E99" t="str">
            <v>39428</v>
          </cell>
          <cell r="F99" t="str">
            <v>93501A030</v>
          </cell>
          <cell r="L99" t="str">
            <v>WASHER,SPRING TENSI</v>
          </cell>
          <cell r="R99" t="str">
            <v>5310</v>
          </cell>
          <cell r="S99" t="str">
            <v>015673996</v>
          </cell>
          <cell r="V99" t="str">
            <v>0000000014</v>
          </cell>
          <cell r="AJ99" t="str">
            <v xml:space="preserve">ARPU </v>
          </cell>
        </row>
        <row r="100">
          <cell r="B100" t="str">
            <v xml:space="preserve">AS2W </v>
          </cell>
          <cell r="D100" t="str">
            <v>F</v>
          </cell>
          <cell r="E100" t="str">
            <v>0UJB5</v>
          </cell>
          <cell r="F100" t="str">
            <v>MIL-001-565</v>
          </cell>
          <cell r="L100" t="str">
            <v>PLATE,MOUNTING</v>
          </cell>
          <cell r="R100" t="str">
            <v>5340</v>
          </cell>
          <cell r="S100" t="str">
            <v>015659351</v>
          </cell>
          <cell r="V100" t="str">
            <v>0000001495</v>
          </cell>
          <cell r="AJ100" t="str">
            <v xml:space="preserve">ARPU </v>
          </cell>
        </row>
        <row r="101">
          <cell r="B101" t="str">
            <v xml:space="preserve">AS8S </v>
          </cell>
          <cell r="D101" t="str">
            <v>F</v>
          </cell>
          <cell r="E101" t="str">
            <v>0Y3H3</v>
          </cell>
          <cell r="F101" t="str">
            <v>0153975</v>
          </cell>
          <cell r="L101" t="str">
            <v>SCREW,CAP,HEXAGON H</v>
          </cell>
          <cell r="R101" t="str">
            <v>5305</v>
          </cell>
          <cell r="S101" t="str">
            <v>015570547</v>
          </cell>
          <cell r="V101" t="str">
            <v>0000000013</v>
          </cell>
          <cell r="AJ101" t="str">
            <v xml:space="preserve">ARPU </v>
          </cell>
        </row>
        <row r="102">
          <cell r="B102" t="str">
            <v xml:space="preserve">ATEN </v>
          </cell>
          <cell r="D102" t="str">
            <v>F</v>
          </cell>
          <cell r="E102" t="str">
            <v>0UJB5</v>
          </cell>
          <cell r="F102" t="str">
            <v>MIL-001-566</v>
          </cell>
          <cell r="L102" t="str">
            <v>BRACKET,ANGLE</v>
          </cell>
          <cell r="R102" t="str">
            <v>5340</v>
          </cell>
          <cell r="S102" t="str">
            <v>015658907</v>
          </cell>
          <cell r="V102" t="str">
            <v>0000001651</v>
          </cell>
          <cell r="AJ102" t="str">
            <v xml:space="preserve">ARPU </v>
          </cell>
        </row>
        <row r="103">
          <cell r="B103" t="str">
            <v xml:space="preserve">ATLJ </v>
          </cell>
          <cell r="D103" t="str">
            <v>F</v>
          </cell>
          <cell r="E103" t="str">
            <v>0UJB5</v>
          </cell>
          <cell r="F103" t="str">
            <v>MIL-001-567</v>
          </cell>
          <cell r="L103" t="str">
            <v>BRACKET,MOUNTING</v>
          </cell>
          <cell r="R103" t="str">
            <v>5340</v>
          </cell>
          <cell r="S103" t="str">
            <v>015659319</v>
          </cell>
          <cell r="V103" t="str">
            <v>0000025353</v>
          </cell>
          <cell r="AJ103" t="str">
            <v xml:space="preserve">ARPU </v>
          </cell>
        </row>
        <row r="104">
          <cell r="B104" t="str">
            <v xml:space="preserve">ATMN </v>
          </cell>
          <cell r="D104" t="str">
            <v>F</v>
          </cell>
          <cell r="E104" t="str">
            <v>43UT5</v>
          </cell>
          <cell r="F104" t="str">
            <v>38617</v>
          </cell>
          <cell r="L104" t="str">
            <v>SCREW, CAP, HEXAGON</v>
          </cell>
          <cell r="R104" t="str">
            <v>5305</v>
          </cell>
          <cell r="S104" t="str">
            <v>016205815</v>
          </cell>
          <cell r="V104" t="str">
            <v>0000000044</v>
          </cell>
          <cell r="AJ104" t="str">
            <v xml:space="preserve">ARPU </v>
          </cell>
        </row>
        <row r="105">
          <cell r="B105" t="str">
            <v xml:space="preserve">ATSE </v>
          </cell>
          <cell r="D105" t="str">
            <v>F</v>
          </cell>
          <cell r="E105" t="str">
            <v>0UJB5</v>
          </cell>
          <cell r="F105" t="str">
            <v>DA731</v>
          </cell>
          <cell r="L105" t="str">
            <v>NUT,SELF-LOCKING,HE</v>
          </cell>
          <cell r="R105" t="str">
            <v>5310</v>
          </cell>
          <cell r="S105" t="str">
            <v>015473981</v>
          </cell>
          <cell r="V105" t="str">
            <v>0000000275</v>
          </cell>
          <cell r="AJ105" t="str">
            <v xml:space="preserve">ARPU </v>
          </cell>
        </row>
        <row r="106">
          <cell r="B106" t="str">
            <v xml:space="preserve">ATYA </v>
          </cell>
          <cell r="D106" t="str">
            <v>F</v>
          </cell>
          <cell r="E106" t="str">
            <v>0UJB5</v>
          </cell>
          <cell r="F106" t="str">
            <v>MIL-001-569</v>
          </cell>
          <cell r="L106" t="str">
            <v>TRAY GUIDE</v>
          </cell>
          <cell r="R106" t="str">
            <v>5340</v>
          </cell>
          <cell r="S106" t="str">
            <v>015662623</v>
          </cell>
          <cell r="V106" t="str">
            <v>0000054032</v>
          </cell>
          <cell r="AJ106" t="str">
            <v xml:space="preserve">ARPU </v>
          </cell>
        </row>
        <row r="107">
          <cell r="B107" t="str">
            <v xml:space="preserve">AT36 </v>
          </cell>
          <cell r="D107" t="str">
            <v>F</v>
          </cell>
          <cell r="E107" t="str">
            <v>0Y3H3</v>
          </cell>
          <cell r="F107" t="str">
            <v>0153973</v>
          </cell>
          <cell r="L107" t="str">
            <v>SCREW,CAP,HEXAGON H</v>
          </cell>
          <cell r="R107" t="str">
            <v>5305</v>
          </cell>
          <cell r="S107" t="str">
            <v>015796627</v>
          </cell>
          <cell r="V107" t="str">
            <v>0000000027</v>
          </cell>
          <cell r="AJ107" t="str">
            <v xml:space="preserve">ARPU </v>
          </cell>
        </row>
        <row r="108">
          <cell r="B108" t="str">
            <v xml:space="preserve">AT92 </v>
          </cell>
          <cell r="D108" t="str">
            <v>F</v>
          </cell>
          <cell r="E108" t="str">
            <v>28953</v>
          </cell>
          <cell r="F108" t="str">
            <v>20-30115</v>
          </cell>
          <cell r="L108" t="str">
            <v>WASHER,FLAT</v>
          </cell>
          <cell r="R108" t="str">
            <v>5310</v>
          </cell>
          <cell r="S108" t="str">
            <v>015096341</v>
          </cell>
          <cell r="V108" t="str">
            <v>0000000005</v>
          </cell>
          <cell r="AJ108" t="str">
            <v xml:space="preserve">ARPU </v>
          </cell>
        </row>
        <row r="109">
          <cell r="B109" t="str">
            <v xml:space="preserve">AUFY </v>
          </cell>
          <cell r="D109" t="str">
            <v>F</v>
          </cell>
          <cell r="E109" t="str">
            <v>0UJB5</v>
          </cell>
          <cell r="F109" t="str">
            <v>MIL-001-559</v>
          </cell>
          <cell r="L109" t="str">
            <v>SPACER,SLEEVE</v>
          </cell>
          <cell r="R109" t="str">
            <v>5365</v>
          </cell>
          <cell r="S109" t="str">
            <v>015660687</v>
          </cell>
          <cell r="V109" t="str">
            <v>0000001102</v>
          </cell>
          <cell r="AJ109" t="str">
            <v xml:space="preserve">ARPU </v>
          </cell>
        </row>
        <row r="110">
          <cell r="B110" t="str">
            <v xml:space="preserve">AUMU </v>
          </cell>
          <cell r="D110" t="str">
            <v>E</v>
          </cell>
          <cell r="E110" t="str">
            <v>0UJB5</v>
          </cell>
          <cell r="F110" t="str">
            <v>MIL-001-508</v>
          </cell>
          <cell r="L110" t="str">
            <v>TUBE ASSEMBLY,METAL</v>
          </cell>
          <cell r="R110" t="str">
            <v>4710</v>
          </cell>
          <cell r="S110" t="str">
            <v>015660741</v>
          </cell>
          <cell r="V110" t="str">
            <v>0000003034</v>
          </cell>
          <cell r="AJ110" t="str">
            <v xml:space="preserve">AATY </v>
          </cell>
        </row>
        <row r="111">
          <cell r="B111" t="str">
            <v xml:space="preserve">AUTQ </v>
          </cell>
          <cell r="D111" t="str">
            <v>E</v>
          </cell>
          <cell r="E111" t="str">
            <v>0UJB5</v>
          </cell>
          <cell r="F111" t="str">
            <v>MIL-001-509</v>
          </cell>
          <cell r="L111" t="str">
            <v>TUBE ASSEMBLY,METAL</v>
          </cell>
          <cell r="R111" t="str">
            <v>4710</v>
          </cell>
          <cell r="S111" t="str">
            <v>015658889</v>
          </cell>
          <cell r="V111" t="str">
            <v>0000004825</v>
          </cell>
          <cell r="AJ111" t="str">
            <v xml:space="preserve">AATY </v>
          </cell>
        </row>
        <row r="112">
          <cell r="B112" t="str">
            <v xml:space="preserve">AUZL </v>
          </cell>
          <cell r="D112" t="str">
            <v>E</v>
          </cell>
          <cell r="E112" t="str">
            <v>0UJB5</v>
          </cell>
          <cell r="F112" t="str">
            <v>MIL-001-502</v>
          </cell>
          <cell r="L112" t="str">
            <v>HOSE ASSEMBLY,NONME</v>
          </cell>
          <cell r="R112" t="str">
            <v>4720</v>
          </cell>
          <cell r="S112" t="str">
            <v>015660795</v>
          </cell>
          <cell r="V112" t="str">
            <v>0000016217</v>
          </cell>
          <cell r="AJ112" t="str">
            <v xml:space="preserve">AATY </v>
          </cell>
        </row>
        <row r="113">
          <cell r="B113" t="str">
            <v xml:space="preserve">AU5G </v>
          </cell>
          <cell r="D113" t="str">
            <v>E</v>
          </cell>
          <cell r="E113" t="str">
            <v>0UJB5</v>
          </cell>
          <cell r="F113" t="str">
            <v>MIL-001-241</v>
          </cell>
          <cell r="L113" t="str">
            <v>PIN ASSEMBLY,HOLDIN</v>
          </cell>
          <cell r="R113" t="str">
            <v>5315</v>
          </cell>
          <cell r="S113" t="str">
            <v>015659357</v>
          </cell>
          <cell r="V113" t="str">
            <v>0000005703</v>
          </cell>
          <cell r="AJ113" t="str">
            <v xml:space="preserve">AATY </v>
          </cell>
        </row>
        <row r="114">
          <cell r="B114" t="str">
            <v xml:space="preserve">AVBC </v>
          </cell>
          <cell r="D114" t="str">
            <v>E</v>
          </cell>
          <cell r="E114" t="str">
            <v>0UJB5</v>
          </cell>
          <cell r="F114" t="str">
            <v>MIL-001-561</v>
          </cell>
          <cell r="L114" t="str">
            <v>TUBING,NONMETALLIC</v>
          </cell>
          <cell r="R114" t="str">
            <v>4720</v>
          </cell>
          <cell r="S114" t="str">
            <v>015670268</v>
          </cell>
          <cell r="V114" t="str">
            <v>0000007800</v>
          </cell>
          <cell r="AJ114" t="str">
            <v xml:space="preserve">AATY </v>
          </cell>
        </row>
        <row r="115">
          <cell r="B115" t="str">
            <v xml:space="preserve">AVG8 </v>
          </cell>
          <cell r="D115" t="str">
            <v>E</v>
          </cell>
          <cell r="E115" t="str">
            <v>0UJB5</v>
          </cell>
          <cell r="F115" t="str">
            <v>MIL-001-572</v>
          </cell>
          <cell r="L115" t="str">
            <v>CLAMP,BLOCK</v>
          </cell>
          <cell r="R115" t="str">
            <v>5340</v>
          </cell>
          <cell r="S115" t="str">
            <v>015658904</v>
          </cell>
          <cell r="V115" t="str">
            <v>0000006620</v>
          </cell>
          <cell r="AJ115" t="str">
            <v xml:space="preserve">AATY </v>
          </cell>
        </row>
        <row r="116">
          <cell r="B116" t="str">
            <v xml:space="preserve">AVN4 </v>
          </cell>
          <cell r="D116" t="str">
            <v>E</v>
          </cell>
          <cell r="E116" t="str">
            <v>39428</v>
          </cell>
          <cell r="F116" t="str">
            <v>93501A030</v>
          </cell>
          <cell r="L116" t="str">
            <v>WASHER,SPRING TENSI</v>
          </cell>
          <cell r="R116" t="str">
            <v>5310</v>
          </cell>
          <cell r="S116" t="str">
            <v>015673996</v>
          </cell>
          <cell r="V116" t="str">
            <v>0000000014</v>
          </cell>
          <cell r="AJ116" t="str">
            <v xml:space="preserve">AATY </v>
          </cell>
        </row>
        <row r="117">
          <cell r="B117" t="str">
            <v xml:space="preserve">AVU0 </v>
          </cell>
          <cell r="D117" t="str">
            <v>E</v>
          </cell>
          <cell r="E117" t="str">
            <v>0Y3H3</v>
          </cell>
          <cell r="F117" t="str">
            <v>0153974</v>
          </cell>
          <cell r="L117" t="str">
            <v>SCREW,CAP,HEXAGON H</v>
          </cell>
          <cell r="R117" t="str">
            <v>5305</v>
          </cell>
          <cell r="S117" t="str">
            <v>015502085</v>
          </cell>
          <cell r="V117" t="str">
            <v>0000000013</v>
          </cell>
          <cell r="AJ117" t="str">
            <v xml:space="preserve">AATY </v>
          </cell>
        </row>
        <row r="118">
          <cell r="B118" t="str">
            <v xml:space="preserve">AV0W </v>
          </cell>
          <cell r="D118" t="str">
            <v>E</v>
          </cell>
          <cell r="E118" t="str">
            <v>0UJB5</v>
          </cell>
          <cell r="F118" t="str">
            <v>MIL-001-583</v>
          </cell>
          <cell r="L118" t="str">
            <v>TEE,HOSE</v>
          </cell>
          <cell r="R118" t="str">
            <v>4730</v>
          </cell>
          <cell r="S118" t="str">
            <v>015677530</v>
          </cell>
          <cell r="V118" t="str">
            <v>0000001136</v>
          </cell>
          <cell r="AJ118" t="str">
            <v xml:space="preserve">AATY </v>
          </cell>
        </row>
        <row r="119">
          <cell r="B119" t="str">
            <v xml:space="preserve">AV6S </v>
          </cell>
          <cell r="D119" t="str">
            <v>E</v>
          </cell>
          <cell r="E119" t="str">
            <v>0UJB5</v>
          </cell>
          <cell r="F119" t="str">
            <v>MIL-001-575</v>
          </cell>
          <cell r="L119" t="str">
            <v>CLAMP,BLOCK</v>
          </cell>
          <cell r="R119" t="str">
            <v>5340</v>
          </cell>
          <cell r="S119" t="str">
            <v>015658892</v>
          </cell>
          <cell r="V119" t="str">
            <v>0000000249</v>
          </cell>
          <cell r="AJ119" t="str">
            <v xml:space="preserve">AATY </v>
          </cell>
        </row>
        <row r="120">
          <cell r="B120" t="str">
            <v xml:space="preserve">AWCN </v>
          </cell>
          <cell r="D120" t="str">
            <v>E</v>
          </cell>
          <cell r="E120" t="str">
            <v>72741</v>
          </cell>
          <cell r="F120" t="str">
            <v>430-008</v>
          </cell>
          <cell r="L120" t="str">
            <v>NUT,PLAIN,HEXAGON</v>
          </cell>
          <cell r="R120" t="str">
            <v>5310</v>
          </cell>
          <cell r="S120" t="str">
            <v>011374829</v>
          </cell>
          <cell r="V120" t="str">
            <v>0000000006</v>
          </cell>
          <cell r="AJ120" t="str">
            <v xml:space="preserve">AATY </v>
          </cell>
        </row>
        <row r="121">
          <cell r="B121" t="str">
            <v xml:space="preserve">AWJJ </v>
          </cell>
          <cell r="D121" t="str">
            <v>E</v>
          </cell>
          <cell r="E121" t="str">
            <v>0UJB5</v>
          </cell>
          <cell r="F121" t="str">
            <v>DA731</v>
          </cell>
          <cell r="L121" t="str">
            <v>NUT,SELF-LOCKING,HE</v>
          </cell>
          <cell r="R121" t="str">
            <v>5310</v>
          </cell>
          <cell r="S121" t="str">
            <v>015473981</v>
          </cell>
          <cell r="V121" t="str">
            <v>0000000275</v>
          </cell>
          <cell r="AJ121" t="str">
            <v xml:space="preserve">AATY </v>
          </cell>
        </row>
        <row r="122">
          <cell r="B122" t="str">
            <v xml:space="preserve">AWQE </v>
          </cell>
          <cell r="D122" t="str">
            <v>E</v>
          </cell>
          <cell r="E122" t="str">
            <v>0UJB5</v>
          </cell>
          <cell r="F122" t="str">
            <v>MIL-001-552</v>
          </cell>
          <cell r="L122" t="str">
            <v>BUSHING,SLEEVE</v>
          </cell>
          <cell r="R122" t="str">
            <v>5365</v>
          </cell>
          <cell r="S122" t="str">
            <v>015696481</v>
          </cell>
          <cell r="V122" t="str">
            <v>0000006480</v>
          </cell>
          <cell r="AJ122" t="str">
            <v xml:space="preserve">AATY </v>
          </cell>
        </row>
        <row r="123">
          <cell r="B123" t="str">
            <v xml:space="preserve">AWWA </v>
          </cell>
          <cell r="D123" t="str">
            <v>E</v>
          </cell>
          <cell r="E123" t="str">
            <v>0UJB5</v>
          </cell>
          <cell r="F123" t="str">
            <v>MIL-001-586</v>
          </cell>
          <cell r="L123" t="str">
            <v>PIN,GROOVED,HEADLES</v>
          </cell>
          <cell r="R123" t="str">
            <v>5315</v>
          </cell>
          <cell r="S123" t="str">
            <v>015678279</v>
          </cell>
          <cell r="V123" t="str">
            <v>0000003631</v>
          </cell>
          <cell r="AJ123" t="str">
            <v xml:space="preserve">AATY </v>
          </cell>
        </row>
        <row r="124">
          <cell r="B124" t="str">
            <v xml:space="preserve">AW16 </v>
          </cell>
          <cell r="D124" t="str">
            <v>E</v>
          </cell>
          <cell r="E124" t="str">
            <v>0UJB5</v>
          </cell>
          <cell r="F124" t="str">
            <v>AS967</v>
          </cell>
          <cell r="L124" t="str">
            <v>RING,RETAINING</v>
          </cell>
          <cell r="R124" t="str">
            <v>5325</v>
          </cell>
          <cell r="S124" t="str">
            <v>015449601</v>
          </cell>
          <cell r="V124" t="str">
            <v>0000000374</v>
          </cell>
          <cell r="AJ124" t="str">
            <v xml:space="preserve">AATY </v>
          </cell>
        </row>
        <row r="125">
          <cell r="B125" t="str">
            <v xml:space="preserve">AW72 </v>
          </cell>
          <cell r="D125" t="str">
            <v>E</v>
          </cell>
          <cell r="E125" t="str">
            <v>0UJB5</v>
          </cell>
          <cell r="F125" t="str">
            <v>MIL-001-584</v>
          </cell>
          <cell r="L125" t="str">
            <v>PIN,GROOVED,HEADLES</v>
          </cell>
          <cell r="R125" t="str">
            <v>5315</v>
          </cell>
          <cell r="S125" t="str">
            <v>015676784</v>
          </cell>
          <cell r="V125" t="str">
            <v>0000003271</v>
          </cell>
          <cell r="AJ125" t="str">
            <v xml:space="preserve">AATY </v>
          </cell>
        </row>
        <row r="126">
          <cell r="B126" t="str">
            <v xml:space="preserve">AXDY </v>
          </cell>
          <cell r="D126" t="str">
            <v>E</v>
          </cell>
          <cell r="E126" t="str">
            <v>0UJB5</v>
          </cell>
          <cell r="F126" t="str">
            <v>MIL-001-501</v>
          </cell>
          <cell r="L126" t="str">
            <v>BRACKET,ANGLE</v>
          </cell>
          <cell r="R126" t="str">
            <v>5340</v>
          </cell>
          <cell r="S126" t="str">
            <v>015659524</v>
          </cell>
          <cell r="V126" t="str">
            <v>0000004155</v>
          </cell>
          <cell r="AJ126" t="str">
            <v xml:space="preserve">AATY </v>
          </cell>
        </row>
        <row r="127">
          <cell r="B127" t="str">
            <v xml:space="preserve">AXKU </v>
          </cell>
          <cell r="D127" t="str">
            <v>E</v>
          </cell>
          <cell r="E127" t="str">
            <v>0UJB5</v>
          </cell>
          <cell r="F127" t="str">
            <v>MIL-001-595</v>
          </cell>
          <cell r="L127" t="str">
            <v>SCREW,CAP,SOCKET HE</v>
          </cell>
          <cell r="R127" t="str">
            <v>5305</v>
          </cell>
          <cell r="S127" t="str">
            <v>015676753</v>
          </cell>
          <cell r="V127" t="str">
            <v>0000000047</v>
          </cell>
          <cell r="AJ127" t="str">
            <v xml:space="preserve">AATY </v>
          </cell>
        </row>
        <row r="128">
          <cell r="B128" t="str">
            <v xml:space="preserve">AXRQ </v>
          </cell>
          <cell r="D128" t="str">
            <v>E</v>
          </cell>
          <cell r="E128" t="str">
            <v>0UJB5</v>
          </cell>
          <cell r="F128" t="str">
            <v>MIL-001-596</v>
          </cell>
          <cell r="L128" t="str">
            <v>WASHER,LOCK</v>
          </cell>
          <cell r="R128" t="str">
            <v>5310</v>
          </cell>
          <cell r="S128" t="str">
            <v>015657236</v>
          </cell>
          <cell r="V128" t="str">
            <v>0000000028</v>
          </cell>
          <cell r="AJ128" t="str">
            <v xml:space="preserve">AATY </v>
          </cell>
        </row>
        <row r="129">
          <cell r="B129" t="str">
            <v xml:space="preserve">AX3G </v>
          </cell>
          <cell r="D129" t="str">
            <v>E</v>
          </cell>
          <cell r="E129" t="str">
            <v>0UJB5</v>
          </cell>
          <cell r="F129" t="str">
            <v>MIL-001-1020</v>
          </cell>
          <cell r="L129" t="str">
            <v>BRACKET,SUPPORT</v>
          </cell>
          <cell r="R129" t="str">
            <v/>
          </cell>
          <cell r="S129" t="str">
            <v/>
          </cell>
          <cell r="V129" t="str">
            <v>0000170325</v>
          </cell>
          <cell r="AJ129" t="str">
            <v xml:space="preserve">AATY </v>
          </cell>
        </row>
        <row r="130">
          <cell r="B130" t="str">
            <v xml:space="preserve">AX9C </v>
          </cell>
          <cell r="D130" t="str">
            <v>E</v>
          </cell>
          <cell r="E130" t="str">
            <v>0UJB5</v>
          </cell>
          <cell r="F130" t="str">
            <v>MIL-001-1021</v>
          </cell>
          <cell r="L130" t="str">
            <v>BUSHING,SLEEVE</v>
          </cell>
          <cell r="R130" t="str">
            <v/>
          </cell>
          <cell r="S130" t="str">
            <v/>
          </cell>
          <cell r="V130" t="str">
            <v>0000003726</v>
          </cell>
          <cell r="AJ130" t="str">
            <v xml:space="preserve">AATY </v>
          </cell>
        </row>
        <row r="131">
          <cell r="B131" t="str">
            <v xml:space="preserve">AYE8 </v>
          </cell>
          <cell r="D131" t="str">
            <v>E</v>
          </cell>
          <cell r="E131" t="str">
            <v>0UJB5</v>
          </cell>
          <cell r="F131" t="str">
            <v>MIL-001-1022</v>
          </cell>
          <cell r="L131" t="str">
            <v>BUSHING,SLEEVE</v>
          </cell>
          <cell r="R131" t="str">
            <v/>
          </cell>
          <cell r="S131" t="str">
            <v/>
          </cell>
          <cell r="V131" t="str">
            <v>0000000925</v>
          </cell>
          <cell r="AJ131" t="str">
            <v xml:space="preserve">AATY </v>
          </cell>
        </row>
        <row r="132">
          <cell r="B132" t="str">
            <v xml:space="preserve">AYL4 </v>
          </cell>
          <cell r="D132" t="str">
            <v>E</v>
          </cell>
          <cell r="E132" t="str">
            <v>0UJB5</v>
          </cell>
          <cell r="F132" t="str">
            <v>MIL-001-1023</v>
          </cell>
          <cell r="L132" t="str">
            <v>BUSHING,SLEEVE</v>
          </cell>
          <cell r="R132" t="str">
            <v/>
          </cell>
          <cell r="S132" t="str">
            <v/>
          </cell>
          <cell r="V132" t="str">
            <v>0000000372</v>
          </cell>
          <cell r="AJ132" t="str">
            <v xml:space="preserve">AATY </v>
          </cell>
        </row>
        <row r="133">
          <cell r="B133" t="str">
            <v xml:space="preserve">AYS0 </v>
          </cell>
          <cell r="D133" t="str">
            <v>E</v>
          </cell>
          <cell r="E133" t="str">
            <v>0UJB5</v>
          </cell>
          <cell r="F133" t="str">
            <v>IN845</v>
          </cell>
          <cell r="L133" t="str">
            <v>FITTING,LUBRICATION</v>
          </cell>
          <cell r="R133" t="str">
            <v>4730</v>
          </cell>
          <cell r="S133" t="str">
            <v>015474478</v>
          </cell>
          <cell r="V133" t="str">
            <v>0000000344</v>
          </cell>
          <cell r="AJ133" t="str">
            <v xml:space="preserve">AATY </v>
          </cell>
        </row>
        <row r="134">
          <cell r="B134" t="str">
            <v xml:space="preserve">AYYW </v>
          </cell>
          <cell r="D134" t="str">
            <v>E</v>
          </cell>
          <cell r="E134" t="str">
            <v>0UJB5</v>
          </cell>
          <cell r="F134" t="str">
            <v>MIL-001-1024</v>
          </cell>
          <cell r="L134" t="str">
            <v>PIPE,METALLIC</v>
          </cell>
          <cell r="R134" t="str">
            <v/>
          </cell>
          <cell r="S134" t="str">
            <v/>
          </cell>
          <cell r="V134" t="str">
            <v>0000013504</v>
          </cell>
          <cell r="AJ134" t="str">
            <v xml:space="preserve">AATY </v>
          </cell>
        </row>
        <row r="135">
          <cell r="B135" t="str">
            <v xml:space="preserve">AY4S </v>
          </cell>
          <cell r="D135" t="str">
            <v>E</v>
          </cell>
          <cell r="E135" t="str">
            <v>0UJB5</v>
          </cell>
          <cell r="F135" t="str">
            <v>MIL-001-1025</v>
          </cell>
          <cell r="L135" t="str">
            <v>BRACKET,SUPPORT</v>
          </cell>
          <cell r="R135" t="str">
            <v/>
          </cell>
          <cell r="S135" t="str">
            <v/>
          </cell>
          <cell r="V135" t="str">
            <v>0000354641</v>
          </cell>
          <cell r="AJ135" t="str">
            <v xml:space="preserve">AATY </v>
          </cell>
        </row>
        <row r="136">
          <cell r="B136" t="str">
            <v xml:space="preserve">AZAN </v>
          </cell>
          <cell r="D136" t="str">
            <v>E</v>
          </cell>
          <cell r="E136" t="str">
            <v>0UJB5</v>
          </cell>
          <cell r="F136" t="str">
            <v>MIL-001-1026</v>
          </cell>
          <cell r="L136" t="str">
            <v>BUSHING,SLEEVE</v>
          </cell>
          <cell r="R136" t="str">
            <v/>
          </cell>
          <cell r="S136" t="str">
            <v/>
          </cell>
          <cell r="V136" t="str">
            <v>0000000277</v>
          </cell>
          <cell r="AJ136" t="str">
            <v xml:space="preserve">AATY </v>
          </cell>
        </row>
        <row r="137">
          <cell r="B137" t="str">
            <v xml:space="preserve">AZGJ </v>
          </cell>
          <cell r="D137" t="str">
            <v>E</v>
          </cell>
          <cell r="E137" t="str">
            <v>0UJB5</v>
          </cell>
          <cell r="F137" t="str">
            <v>MIL-001-1027</v>
          </cell>
          <cell r="L137" t="str">
            <v>SPACER</v>
          </cell>
          <cell r="R137" t="str">
            <v/>
          </cell>
          <cell r="S137" t="str">
            <v/>
          </cell>
          <cell r="V137" t="str">
            <v>0000009570</v>
          </cell>
          <cell r="AJ137" t="str">
            <v xml:space="preserve">AATY </v>
          </cell>
        </row>
        <row r="138">
          <cell r="B138" t="str">
            <v xml:space="preserve">AZNE </v>
          </cell>
          <cell r="D138" t="str">
            <v>E</v>
          </cell>
          <cell r="E138" t="str">
            <v>0UJB5</v>
          </cell>
          <cell r="F138" t="str">
            <v>MIL-001-1028</v>
          </cell>
          <cell r="L138" t="str">
            <v>O-RING</v>
          </cell>
          <cell r="R138" t="str">
            <v/>
          </cell>
          <cell r="S138" t="str">
            <v/>
          </cell>
          <cell r="V138" t="str">
            <v>0000000417</v>
          </cell>
          <cell r="AJ138" t="str">
            <v xml:space="preserve">AATY </v>
          </cell>
        </row>
        <row r="139">
          <cell r="B139" t="str">
            <v xml:space="preserve">AZUA </v>
          </cell>
          <cell r="D139" t="str">
            <v>E</v>
          </cell>
          <cell r="E139" t="str">
            <v>0UJB5</v>
          </cell>
          <cell r="F139" t="str">
            <v>MIL-001-1029</v>
          </cell>
          <cell r="L139" t="str">
            <v>SPACER</v>
          </cell>
          <cell r="R139" t="str">
            <v/>
          </cell>
          <cell r="S139" t="str">
            <v/>
          </cell>
          <cell r="V139" t="str">
            <v>0000005785</v>
          </cell>
          <cell r="AJ139" t="str">
            <v xml:space="preserve">AATY </v>
          </cell>
        </row>
        <row r="140">
          <cell r="B140" t="str">
            <v xml:space="preserve">AZZ6 </v>
          </cell>
          <cell r="D140" t="str">
            <v>E</v>
          </cell>
          <cell r="E140" t="str">
            <v>0UJB5</v>
          </cell>
          <cell r="F140" t="str">
            <v>MIL-001-1030</v>
          </cell>
          <cell r="L140" t="str">
            <v>GEAR, HELICAL</v>
          </cell>
          <cell r="R140" t="str">
            <v/>
          </cell>
          <cell r="S140" t="str">
            <v/>
          </cell>
          <cell r="V140" t="str">
            <v>0000123038</v>
          </cell>
          <cell r="AJ140" t="str">
            <v xml:space="preserve">AATY </v>
          </cell>
        </row>
        <row r="141">
          <cell r="B141" t="str">
            <v xml:space="preserve">AZ52 </v>
          </cell>
          <cell r="D141" t="str">
            <v>E</v>
          </cell>
          <cell r="E141" t="str">
            <v>0UJB5</v>
          </cell>
          <cell r="F141" t="str">
            <v>MIL-001-1031</v>
          </cell>
          <cell r="L141" t="str">
            <v>SCREW, CAP, HEXAGON</v>
          </cell>
          <cell r="R141" t="str">
            <v/>
          </cell>
          <cell r="S141" t="str">
            <v/>
          </cell>
          <cell r="V141" t="str">
            <v>0000000475</v>
          </cell>
          <cell r="AJ141" t="str">
            <v xml:space="preserve">AATY </v>
          </cell>
        </row>
        <row r="142">
          <cell r="B142" t="str">
            <v xml:space="preserve">A0BY </v>
          </cell>
          <cell r="D142" t="str">
            <v>E</v>
          </cell>
          <cell r="E142" t="str">
            <v>0UJB5</v>
          </cell>
          <cell r="F142" t="str">
            <v>MIL-001-1032</v>
          </cell>
          <cell r="L142" t="str">
            <v>SHAFT,STRIGHT</v>
          </cell>
          <cell r="R142" t="str">
            <v/>
          </cell>
          <cell r="S142" t="str">
            <v/>
          </cell>
          <cell r="V142" t="str">
            <v>0000145976</v>
          </cell>
          <cell r="AJ142" t="str">
            <v xml:space="preserve">AATY </v>
          </cell>
        </row>
        <row r="143">
          <cell r="B143" t="str">
            <v xml:space="preserve">A0PQ </v>
          </cell>
          <cell r="D143" t="str">
            <v>E</v>
          </cell>
          <cell r="E143" t="str">
            <v>0UJB5</v>
          </cell>
          <cell r="F143" t="str">
            <v>MIL-001-1033</v>
          </cell>
          <cell r="L143" t="str">
            <v>BEARING</v>
          </cell>
          <cell r="R143" t="str">
            <v/>
          </cell>
          <cell r="S143" t="str">
            <v/>
          </cell>
          <cell r="V143" t="str">
            <v>0000016252</v>
          </cell>
          <cell r="AJ143" t="str">
            <v xml:space="preserve">AATY </v>
          </cell>
        </row>
        <row r="144">
          <cell r="B144" t="str">
            <v xml:space="preserve">A0VL </v>
          </cell>
          <cell r="D144" t="str">
            <v>E</v>
          </cell>
          <cell r="E144" t="str">
            <v>0UJB5</v>
          </cell>
          <cell r="F144" t="str">
            <v>MIL-001-1034</v>
          </cell>
          <cell r="L144" t="str">
            <v>RING, SPLIT</v>
          </cell>
          <cell r="R144" t="str">
            <v/>
          </cell>
          <cell r="S144" t="str">
            <v/>
          </cell>
          <cell r="V144" t="str">
            <v>0000017648</v>
          </cell>
          <cell r="AJ144" t="str">
            <v xml:space="preserve">AATY </v>
          </cell>
        </row>
        <row r="145">
          <cell r="B145" t="str">
            <v xml:space="preserve">A01G </v>
          </cell>
          <cell r="D145" t="str">
            <v>E</v>
          </cell>
          <cell r="E145" t="str">
            <v>0UJB5</v>
          </cell>
          <cell r="F145" t="str">
            <v>VI808</v>
          </cell>
          <cell r="L145" t="str">
            <v>SCREW, CAP, HEXAGON</v>
          </cell>
          <cell r="R145" t="str">
            <v>5305</v>
          </cell>
          <cell r="S145" t="str">
            <v>015474240</v>
          </cell>
          <cell r="V145" t="str">
            <v>0000000343</v>
          </cell>
          <cell r="AJ145" t="str">
            <v xml:space="preserve">AATY </v>
          </cell>
        </row>
        <row r="146">
          <cell r="B146" t="str">
            <v xml:space="preserve">A07C </v>
          </cell>
          <cell r="D146" t="str">
            <v>E</v>
          </cell>
          <cell r="E146" t="str">
            <v>0UJB5</v>
          </cell>
          <cell r="F146" t="str">
            <v>MIL-001-1035</v>
          </cell>
          <cell r="L146" t="str">
            <v>COVER</v>
          </cell>
          <cell r="R146" t="str">
            <v/>
          </cell>
          <cell r="S146" t="str">
            <v/>
          </cell>
          <cell r="V146" t="str">
            <v>0000010218</v>
          </cell>
          <cell r="AJ146" t="str">
            <v xml:space="preserve">AATY </v>
          </cell>
        </row>
        <row r="147">
          <cell r="B147" t="str">
            <v xml:space="preserve">A1C8 </v>
          </cell>
          <cell r="D147" t="str">
            <v>E</v>
          </cell>
          <cell r="E147" t="str">
            <v>0UJB5</v>
          </cell>
          <cell r="F147" t="str">
            <v>MIL-001-1036</v>
          </cell>
          <cell r="L147" t="str">
            <v>COVER</v>
          </cell>
          <cell r="R147" t="str">
            <v/>
          </cell>
          <cell r="S147" t="str">
            <v/>
          </cell>
          <cell r="V147" t="str">
            <v>0000006493</v>
          </cell>
          <cell r="AJ147" t="str">
            <v xml:space="preserve">AATY </v>
          </cell>
        </row>
        <row r="148">
          <cell r="B148" t="str">
            <v xml:space="preserve">A1J4 </v>
          </cell>
          <cell r="D148" t="str">
            <v>E</v>
          </cell>
          <cell r="E148" t="str">
            <v>0UJB5</v>
          </cell>
          <cell r="F148" t="str">
            <v>VI632</v>
          </cell>
          <cell r="L148" t="str">
            <v>SCREW, CAP, HEXAGON</v>
          </cell>
          <cell r="R148" t="str">
            <v>5305</v>
          </cell>
          <cell r="S148" t="str">
            <v>015474199</v>
          </cell>
          <cell r="V148" t="str">
            <v>0000000333</v>
          </cell>
          <cell r="AJ148" t="str">
            <v xml:space="preserve">AATY </v>
          </cell>
        </row>
        <row r="149">
          <cell r="B149" t="str">
            <v xml:space="preserve">A1Q0 </v>
          </cell>
          <cell r="D149" t="str">
            <v>E</v>
          </cell>
          <cell r="E149" t="str">
            <v>0UJB5</v>
          </cell>
          <cell r="F149" t="str">
            <v>RE278</v>
          </cell>
          <cell r="L149" t="str">
            <v>WASHER, LOCK</v>
          </cell>
          <cell r="R149" t="str">
            <v>5310</v>
          </cell>
          <cell r="S149" t="str">
            <v>015474140</v>
          </cell>
          <cell r="V149" t="str">
            <v>0000000327</v>
          </cell>
          <cell r="AJ149" t="str">
            <v xml:space="preserve">AATY </v>
          </cell>
        </row>
        <row r="150">
          <cell r="B150" t="str">
            <v xml:space="preserve">A1WW </v>
          </cell>
          <cell r="D150" t="str">
            <v>E</v>
          </cell>
          <cell r="E150" t="str">
            <v>0UJB5</v>
          </cell>
          <cell r="F150" t="str">
            <v>MIL-001-1038</v>
          </cell>
          <cell r="L150" t="str">
            <v>STOP</v>
          </cell>
          <cell r="R150" t="str">
            <v/>
          </cell>
          <cell r="S150" t="str">
            <v/>
          </cell>
          <cell r="V150" t="str">
            <v>0000016919</v>
          </cell>
          <cell r="AJ150" t="str">
            <v xml:space="preserve">AATY </v>
          </cell>
        </row>
        <row r="151">
          <cell r="B151" t="str">
            <v xml:space="preserve">A12S </v>
          </cell>
          <cell r="D151" t="str">
            <v>E</v>
          </cell>
          <cell r="E151" t="str">
            <v>39428</v>
          </cell>
          <cell r="F151" t="str">
            <v>91180A643</v>
          </cell>
          <cell r="L151" t="str">
            <v>SCREW, CAP, HEXAGON</v>
          </cell>
          <cell r="R151" t="str">
            <v/>
          </cell>
          <cell r="S151" t="str">
            <v/>
          </cell>
          <cell r="V151" t="str">
            <v>0000000160</v>
          </cell>
          <cell r="AJ151" t="str">
            <v xml:space="preserve">AATY </v>
          </cell>
        </row>
        <row r="152">
          <cell r="B152" t="str">
            <v xml:space="preserve">A18N </v>
          </cell>
          <cell r="D152" t="str">
            <v>E</v>
          </cell>
          <cell r="E152" t="str">
            <v>39428</v>
          </cell>
          <cell r="F152" t="str">
            <v>93162A330</v>
          </cell>
          <cell r="L152" t="str">
            <v>WASHER</v>
          </cell>
          <cell r="R152" t="str">
            <v/>
          </cell>
          <cell r="S152" t="str">
            <v/>
          </cell>
          <cell r="V152" t="str">
            <v>0000000044</v>
          </cell>
          <cell r="AJ152" t="str">
            <v xml:space="preserve">AATY </v>
          </cell>
        </row>
        <row r="153">
          <cell r="B153" t="str">
            <v xml:space="preserve">A2EJ </v>
          </cell>
          <cell r="D153" t="str">
            <v>E</v>
          </cell>
          <cell r="E153" t="str">
            <v>39428</v>
          </cell>
          <cell r="F153" t="str">
            <v>90576A132</v>
          </cell>
          <cell r="L153" t="str">
            <v>NUT,SELF-LOCKING</v>
          </cell>
          <cell r="R153" t="str">
            <v>5310</v>
          </cell>
          <cell r="S153" t="str">
            <v>015545202</v>
          </cell>
          <cell r="V153" t="str">
            <v>0000000081</v>
          </cell>
          <cell r="AJ153" t="str">
            <v xml:space="preserve">AATY </v>
          </cell>
        </row>
        <row r="154">
          <cell r="B154" t="str">
            <v xml:space="preserve">A2LE </v>
          </cell>
          <cell r="D154" t="str">
            <v>E</v>
          </cell>
          <cell r="E154" t="str">
            <v>0Y3H3</v>
          </cell>
          <cell r="F154" t="str">
            <v>11114166</v>
          </cell>
          <cell r="L154" t="str">
            <v>SCREW, CAP, HEXAGON</v>
          </cell>
          <cell r="R154" t="str">
            <v/>
          </cell>
          <cell r="S154" t="str">
            <v/>
          </cell>
          <cell r="V154" t="str">
            <v>0000000294</v>
          </cell>
          <cell r="AJ154" t="str">
            <v xml:space="preserve">AATY </v>
          </cell>
        </row>
        <row r="155">
          <cell r="B155" t="str">
            <v xml:space="preserve">A2SA </v>
          </cell>
          <cell r="D155" t="str">
            <v>E</v>
          </cell>
          <cell r="E155" t="str">
            <v>0UJB5</v>
          </cell>
          <cell r="F155" t="str">
            <v>MIL-001-1043</v>
          </cell>
          <cell r="L155" t="str">
            <v>PLUG,MACHINE THREAD</v>
          </cell>
          <cell r="R155" t="str">
            <v/>
          </cell>
          <cell r="S155" t="str">
            <v/>
          </cell>
          <cell r="V155" t="str">
            <v>0000000156</v>
          </cell>
          <cell r="AJ155" t="str">
            <v xml:space="preserve">AATY </v>
          </cell>
        </row>
        <row r="156">
          <cell r="B156" t="str">
            <v xml:space="preserve">A2X6 </v>
          </cell>
          <cell r="D156" t="str">
            <v>E</v>
          </cell>
          <cell r="E156" t="str">
            <v>0UJB5</v>
          </cell>
          <cell r="F156" t="str">
            <v>MIL-001-1045</v>
          </cell>
          <cell r="L156" t="str">
            <v>BOOM SECTION,INNER,</v>
          </cell>
          <cell r="R156" t="str">
            <v/>
          </cell>
          <cell r="S156" t="str">
            <v/>
          </cell>
          <cell r="V156" t="str">
            <v>0000437927</v>
          </cell>
          <cell r="AJ156" t="str">
            <v xml:space="preserve">AATY </v>
          </cell>
        </row>
        <row r="157">
          <cell r="B157" t="str">
            <v xml:space="preserve">A232 </v>
          </cell>
          <cell r="D157" t="str">
            <v>E</v>
          </cell>
          <cell r="E157" t="str">
            <v>0UJB5</v>
          </cell>
          <cell r="F157" t="str">
            <v>MIL-001-1046</v>
          </cell>
          <cell r="L157" t="str">
            <v>BOOM SECTION</v>
          </cell>
          <cell r="R157" t="str">
            <v/>
          </cell>
          <cell r="S157" t="str">
            <v/>
          </cell>
          <cell r="V157" t="str">
            <v>0001188629</v>
          </cell>
          <cell r="AJ157" t="str">
            <v xml:space="preserve">AATY </v>
          </cell>
        </row>
        <row r="158">
          <cell r="B158" t="str">
            <v xml:space="preserve">A29Y </v>
          </cell>
          <cell r="D158" t="str">
            <v>E</v>
          </cell>
          <cell r="E158" t="str">
            <v>0UJB5</v>
          </cell>
          <cell r="F158" t="str">
            <v>MIL-001-1047</v>
          </cell>
          <cell r="L158" t="str">
            <v>GUIDE SHOE</v>
          </cell>
          <cell r="R158" t="str">
            <v/>
          </cell>
          <cell r="S158" t="str">
            <v/>
          </cell>
          <cell r="V158" t="str">
            <v>0000004276</v>
          </cell>
          <cell r="AJ158" t="str">
            <v xml:space="preserve">AATY </v>
          </cell>
        </row>
        <row r="159">
          <cell r="B159" t="str">
            <v xml:space="preserve">A3FU </v>
          </cell>
          <cell r="D159" t="str">
            <v>E</v>
          </cell>
          <cell r="E159" t="str">
            <v>0UJB5</v>
          </cell>
          <cell r="F159" t="str">
            <v>MIL-001-1048</v>
          </cell>
          <cell r="L159" t="str">
            <v>SHIM</v>
          </cell>
          <cell r="R159" t="str">
            <v/>
          </cell>
          <cell r="S159" t="str">
            <v/>
          </cell>
          <cell r="V159" t="str">
            <v>0000004690</v>
          </cell>
          <cell r="AJ159" t="str">
            <v xml:space="preserve">AATY </v>
          </cell>
        </row>
        <row r="160">
          <cell r="B160" t="str">
            <v xml:space="preserve">A3MQ </v>
          </cell>
          <cell r="D160" t="str">
            <v>E</v>
          </cell>
          <cell r="E160" t="str">
            <v>39428</v>
          </cell>
          <cell r="F160" t="str">
            <v>91263A840</v>
          </cell>
          <cell r="L160" t="str">
            <v>SCREW</v>
          </cell>
          <cell r="R160" t="str">
            <v/>
          </cell>
          <cell r="S160" t="str">
            <v/>
          </cell>
          <cell r="V160" t="str">
            <v>0000000012</v>
          </cell>
          <cell r="AJ160" t="str">
            <v xml:space="preserve">AATY </v>
          </cell>
        </row>
        <row r="161">
          <cell r="B161" t="str">
            <v xml:space="preserve">A3ZG </v>
          </cell>
          <cell r="D161" t="str">
            <v>E</v>
          </cell>
          <cell r="E161" t="str">
            <v>0UJB5</v>
          </cell>
          <cell r="F161" t="str">
            <v>RP201</v>
          </cell>
          <cell r="L161" t="str">
            <v>WASHER,FLAT</v>
          </cell>
          <cell r="R161" t="str">
            <v>5310</v>
          </cell>
          <cell r="S161" t="str">
            <v>015469032</v>
          </cell>
          <cell r="V161" t="str">
            <v>0000000423</v>
          </cell>
          <cell r="AJ161" t="str">
            <v xml:space="preserve">AATY </v>
          </cell>
        </row>
        <row r="162">
          <cell r="B162" t="str">
            <v xml:space="preserve">A35C </v>
          </cell>
          <cell r="D162" t="str">
            <v>E</v>
          </cell>
          <cell r="E162" t="str">
            <v>39428</v>
          </cell>
          <cell r="F162" t="str">
            <v>94645A205</v>
          </cell>
          <cell r="L162" t="str">
            <v>NUT,SELF-LOCKING,SI</v>
          </cell>
          <cell r="R162" t="str">
            <v>5310</v>
          </cell>
          <cell r="S162" t="str">
            <v>015878241</v>
          </cell>
          <cell r="V162" t="str">
            <v>0000000019</v>
          </cell>
          <cell r="AJ162" t="str">
            <v xml:space="preserve">AATY </v>
          </cell>
        </row>
        <row r="163">
          <cell r="B163" t="str">
            <v xml:space="preserve">A4A8 </v>
          </cell>
          <cell r="D163" t="str">
            <v>E</v>
          </cell>
          <cell r="E163" t="str">
            <v>0Y3H3</v>
          </cell>
          <cell r="F163" t="str">
            <v>0141391</v>
          </cell>
          <cell r="L163" t="str">
            <v>SCREW</v>
          </cell>
          <cell r="R163" t="str">
            <v/>
          </cell>
          <cell r="S163" t="str">
            <v/>
          </cell>
          <cell r="V163" t="str">
            <v>0000000042</v>
          </cell>
          <cell r="AJ163" t="str">
            <v xml:space="preserve">AATY </v>
          </cell>
        </row>
        <row r="164">
          <cell r="B164" t="str">
            <v xml:space="preserve">A4G4 </v>
          </cell>
          <cell r="D164" t="str">
            <v>E</v>
          </cell>
          <cell r="E164" t="str">
            <v>0UJB5</v>
          </cell>
          <cell r="F164" t="str">
            <v>MIL-001-1050</v>
          </cell>
          <cell r="L164" t="str">
            <v>GUIDE</v>
          </cell>
          <cell r="R164" t="str">
            <v/>
          </cell>
          <cell r="S164" t="str">
            <v/>
          </cell>
          <cell r="V164" t="str">
            <v>0000004276</v>
          </cell>
          <cell r="AJ164" t="str">
            <v xml:space="preserve">AATY </v>
          </cell>
        </row>
        <row r="165">
          <cell r="B165" t="str">
            <v xml:space="preserve">A4N0 </v>
          </cell>
          <cell r="D165" t="str">
            <v>E</v>
          </cell>
          <cell r="E165" t="str">
            <v>0UJB5</v>
          </cell>
          <cell r="F165" t="str">
            <v>MIL-001-1051</v>
          </cell>
          <cell r="L165" t="str">
            <v>SHIM</v>
          </cell>
          <cell r="R165" t="str">
            <v/>
          </cell>
          <cell r="S165" t="str">
            <v/>
          </cell>
          <cell r="V165" t="str">
            <v>0000000973</v>
          </cell>
          <cell r="AJ165" t="str">
            <v xml:space="preserve">AATY </v>
          </cell>
        </row>
        <row r="166">
          <cell r="B166" t="str">
            <v xml:space="preserve">A4UW </v>
          </cell>
          <cell r="D166" t="str">
            <v>E</v>
          </cell>
          <cell r="E166" t="str">
            <v>0UJB5</v>
          </cell>
          <cell r="F166" t="str">
            <v>MIL-001-1052</v>
          </cell>
          <cell r="L166" t="str">
            <v>BOOM SECTION</v>
          </cell>
          <cell r="R166" t="str">
            <v/>
          </cell>
          <cell r="S166" t="str">
            <v/>
          </cell>
          <cell r="V166" t="str">
            <v>0000182470</v>
          </cell>
          <cell r="AJ166" t="str">
            <v xml:space="preserve">AATY </v>
          </cell>
        </row>
        <row r="167">
          <cell r="B167" t="str">
            <v xml:space="preserve">A40S </v>
          </cell>
          <cell r="D167" t="str">
            <v>E</v>
          </cell>
          <cell r="E167" t="str">
            <v>0UJB5</v>
          </cell>
          <cell r="F167" t="str">
            <v>MIL-001-1053</v>
          </cell>
          <cell r="L167" t="str">
            <v>SHIM</v>
          </cell>
          <cell r="R167" t="str">
            <v/>
          </cell>
          <cell r="S167" t="str">
            <v/>
          </cell>
          <cell r="V167" t="str">
            <v>0000004039</v>
          </cell>
          <cell r="AJ167" t="str">
            <v xml:space="preserve">AATY </v>
          </cell>
        </row>
        <row r="168">
          <cell r="B168" t="str">
            <v xml:space="preserve">A5CJ </v>
          </cell>
          <cell r="D168" t="str">
            <v>E</v>
          </cell>
          <cell r="E168" t="str">
            <v>39428</v>
          </cell>
          <cell r="F168" t="str">
            <v>98035A104</v>
          </cell>
          <cell r="L168" t="str">
            <v>WASHER,FLAT</v>
          </cell>
          <cell r="R168" t="str">
            <v/>
          </cell>
          <cell r="S168" t="str">
            <v/>
          </cell>
          <cell r="V168" t="str">
            <v>0000000054</v>
          </cell>
          <cell r="AJ168" t="str">
            <v xml:space="preserve">AATY </v>
          </cell>
        </row>
        <row r="169">
          <cell r="B169" t="str">
            <v xml:space="preserve">A5JE </v>
          </cell>
          <cell r="D169" t="str">
            <v>E</v>
          </cell>
          <cell r="E169" t="str">
            <v>39428</v>
          </cell>
          <cell r="F169" t="str">
            <v>91280A322</v>
          </cell>
          <cell r="L169" t="str">
            <v>SCREW, CAP, HEXAGON</v>
          </cell>
          <cell r="R169" t="str">
            <v>5305</v>
          </cell>
          <cell r="S169" t="str">
            <v>014467915</v>
          </cell>
          <cell r="V169" t="str">
            <v>0000000016</v>
          </cell>
          <cell r="AJ169" t="str">
            <v xml:space="preserve">AATY </v>
          </cell>
        </row>
        <row r="170">
          <cell r="B170" t="str">
            <v xml:space="preserve">A512 </v>
          </cell>
          <cell r="D170" t="str">
            <v>E</v>
          </cell>
          <cell r="E170" t="str">
            <v>0UJB5</v>
          </cell>
          <cell r="F170" t="str">
            <v>MIL-002-192</v>
          </cell>
          <cell r="L170" t="str">
            <v>NIPPLE,TUBE</v>
          </cell>
          <cell r="R170" t="str">
            <v/>
          </cell>
          <cell r="S170" t="str">
            <v/>
          </cell>
          <cell r="V170" t="str">
            <v>0000001202</v>
          </cell>
          <cell r="AJ170" t="str">
            <v xml:space="preserve">AATY </v>
          </cell>
        </row>
        <row r="171">
          <cell r="B171" t="str">
            <v xml:space="preserve">A57Y </v>
          </cell>
          <cell r="D171" t="str">
            <v>E</v>
          </cell>
          <cell r="E171" t="str">
            <v>0UJB5</v>
          </cell>
          <cell r="F171" t="str">
            <v>MIL-001-1054</v>
          </cell>
          <cell r="L171" t="str">
            <v>SLEEVE,HOSE PROTECT</v>
          </cell>
          <cell r="R171" t="str">
            <v/>
          </cell>
          <cell r="S171" t="str">
            <v/>
          </cell>
          <cell r="V171" t="str">
            <v>0000002007</v>
          </cell>
          <cell r="AJ171" t="str">
            <v xml:space="preserve">AATY </v>
          </cell>
        </row>
        <row r="172">
          <cell r="B172" t="str">
            <v xml:space="preserve">A6DU </v>
          </cell>
          <cell r="D172" t="str">
            <v>E</v>
          </cell>
          <cell r="E172" t="str">
            <v>0UJB5</v>
          </cell>
          <cell r="F172" t="str">
            <v>MIL-001-1055</v>
          </cell>
          <cell r="L172" t="str">
            <v>SLEEVE,HOSE PROTECT</v>
          </cell>
          <cell r="R172" t="str">
            <v/>
          </cell>
          <cell r="S172" t="str">
            <v/>
          </cell>
          <cell r="V172" t="str">
            <v>0000008500</v>
          </cell>
          <cell r="AJ172" t="str">
            <v xml:space="preserve">AATY </v>
          </cell>
        </row>
        <row r="173">
          <cell r="B173" t="str">
            <v xml:space="preserve">A6KQ </v>
          </cell>
          <cell r="D173" t="str">
            <v>E</v>
          </cell>
          <cell r="E173" t="str">
            <v>0UJB5</v>
          </cell>
          <cell r="F173" t="str">
            <v>MIL-001-1056</v>
          </cell>
          <cell r="L173" t="str">
            <v>SLEEVE,HOSE PROTECT</v>
          </cell>
          <cell r="R173" t="str">
            <v/>
          </cell>
          <cell r="S173" t="str">
            <v/>
          </cell>
          <cell r="V173" t="str">
            <v>0000008500</v>
          </cell>
          <cell r="AJ173" t="str">
            <v xml:space="preserve">AATY </v>
          </cell>
        </row>
        <row r="174">
          <cell r="B174" t="str">
            <v xml:space="preserve">A6RL </v>
          </cell>
          <cell r="D174" t="str">
            <v>E</v>
          </cell>
          <cell r="E174" t="str">
            <v>0UJB5</v>
          </cell>
          <cell r="F174" t="str">
            <v>MIL-001-1057</v>
          </cell>
          <cell r="L174" t="str">
            <v>SLEEVE,HOSE PROTECT</v>
          </cell>
          <cell r="R174" t="str">
            <v/>
          </cell>
          <cell r="S174" t="str">
            <v/>
          </cell>
          <cell r="V174" t="str">
            <v>0000003522</v>
          </cell>
          <cell r="AJ174" t="str">
            <v xml:space="preserve">AATY </v>
          </cell>
        </row>
        <row r="175">
          <cell r="B175" t="str">
            <v xml:space="preserve">A6XG </v>
          </cell>
          <cell r="D175" t="str">
            <v>E</v>
          </cell>
          <cell r="E175" t="str">
            <v>0UJB5</v>
          </cell>
          <cell r="F175" t="str">
            <v>MIL-001-1058</v>
          </cell>
          <cell r="L175" t="str">
            <v>SLEEVE,HOSE PROTECT</v>
          </cell>
          <cell r="R175" t="str">
            <v/>
          </cell>
          <cell r="S175" t="str">
            <v/>
          </cell>
          <cell r="V175" t="str">
            <v>0000003041</v>
          </cell>
          <cell r="AJ175" t="str">
            <v xml:space="preserve">AATY </v>
          </cell>
        </row>
        <row r="176">
          <cell r="B176" t="str">
            <v xml:space="preserve">A688 </v>
          </cell>
          <cell r="D176" t="str">
            <v>E</v>
          </cell>
          <cell r="E176" t="str">
            <v>39428</v>
          </cell>
          <cell r="F176" t="str">
            <v>92605A154</v>
          </cell>
          <cell r="L176" t="str">
            <v>SCREW,SET</v>
          </cell>
          <cell r="R176" t="str">
            <v/>
          </cell>
          <cell r="S176" t="str">
            <v/>
          </cell>
          <cell r="V176" t="str">
            <v>0000000129</v>
          </cell>
          <cell r="AJ176" t="str">
            <v xml:space="preserve">AATY </v>
          </cell>
        </row>
        <row r="177">
          <cell r="B177" t="str">
            <v xml:space="preserve">A7L0 </v>
          </cell>
          <cell r="D177" t="str">
            <v>D</v>
          </cell>
          <cell r="E177" t="str">
            <v>4C8S5</v>
          </cell>
          <cell r="F177" t="str">
            <v>800192</v>
          </cell>
          <cell r="L177" t="str">
            <v>CONNECTOR,BULKHEAD,</v>
          </cell>
          <cell r="R177" t="str">
            <v>5935</v>
          </cell>
          <cell r="S177" t="str">
            <v>015673068</v>
          </cell>
          <cell r="V177" t="str">
            <v>0000026092</v>
          </cell>
          <cell r="AJ177" t="str">
            <v xml:space="preserve">AAM2 </v>
          </cell>
        </row>
        <row r="178">
          <cell r="B178" t="str">
            <v xml:space="preserve">A7SW </v>
          </cell>
          <cell r="D178" t="str">
            <v>D</v>
          </cell>
          <cell r="E178" t="str">
            <v>61526</v>
          </cell>
          <cell r="F178" t="str">
            <v>FKFS4.4/M12</v>
          </cell>
          <cell r="L178" t="str">
            <v>CONNECTOR,BULKHEAD,</v>
          </cell>
          <cell r="R178" t="str">
            <v>5935</v>
          </cell>
          <cell r="S178" t="str">
            <v>015663300</v>
          </cell>
          <cell r="V178" t="str">
            <v>0000002940</v>
          </cell>
          <cell r="AJ178" t="str">
            <v xml:space="preserve">AAM2 </v>
          </cell>
        </row>
        <row r="179">
          <cell r="B179" t="str">
            <v xml:space="preserve">A7YS </v>
          </cell>
          <cell r="D179" t="str">
            <v>D</v>
          </cell>
          <cell r="E179" t="str">
            <v>61526</v>
          </cell>
          <cell r="F179" t="str">
            <v>RKSV4.4T-6.5-RKSV4.4T</v>
          </cell>
          <cell r="L179" t="str">
            <v>CABLE ASSEMBLY,SPEC</v>
          </cell>
          <cell r="R179" t="str">
            <v>6150</v>
          </cell>
          <cell r="S179" t="str">
            <v>015660646</v>
          </cell>
          <cell r="V179" t="str">
            <v>0000010752</v>
          </cell>
          <cell r="AJ179" t="str">
            <v xml:space="preserve">AAM2 </v>
          </cell>
        </row>
        <row r="180">
          <cell r="B180" t="str">
            <v xml:space="preserve">A74N </v>
          </cell>
          <cell r="D180" t="str">
            <v>D</v>
          </cell>
          <cell r="E180" t="str">
            <v>0UJB5</v>
          </cell>
          <cell r="F180" t="str">
            <v>MIL-001-176</v>
          </cell>
          <cell r="L180" t="str">
            <v>CABLE ASSEMBLY,SPEC</v>
          </cell>
          <cell r="R180" t="str">
            <v>6150</v>
          </cell>
          <cell r="S180" t="str">
            <v>015668415</v>
          </cell>
          <cell r="V180" t="str">
            <v>0000128449</v>
          </cell>
          <cell r="AJ180" t="str">
            <v xml:space="preserve">AAM2 </v>
          </cell>
        </row>
        <row r="181">
          <cell r="B181" t="str">
            <v xml:space="preserve">A8AJ </v>
          </cell>
          <cell r="D181" t="str">
            <v>D</v>
          </cell>
          <cell r="E181" t="str">
            <v>0UJB5</v>
          </cell>
          <cell r="F181" t="str">
            <v>MIL-001-779</v>
          </cell>
          <cell r="L181" t="str">
            <v>BRACKET</v>
          </cell>
          <cell r="R181" t="str">
            <v/>
          </cell>
          <cell r="S181" t="str">
            <v/>
          </cell>
          <cell r="V181" t="str">
            <v>0000024941</v>
          </cell>
          <cell r="AJ181" t="str">
            <v xml:space="preserve">AAM2 </v>
          </cell>
        </row>
        <row r="182">
          <cell r="B182" t="str">
            <v xml:space="preserve">A8GE </v>
          </cell>
          <cell r="D182" t="str">
            <v>D</v>
          </cell>
          <cell r="E182" t="str">
            <v>0Y3H3</v>
          </cell>
          <cell r="F182" t="str">
            <v>0153976</v>
          </cell>
          <cell r="L182" t="str">
            <v>SCREW,CAP,HEXAGON H</v>
          </cell>
          <cell r="R182" t="str">
            <v>5305</v>
          </cell>
          <cell r="S182" t="str">
            <v>015800455</v>
          </cell>
          <cell r="V182" t="str">
            <v>0000000016</v>
          </cell>
          <cell r="AJ182" t="str">
            <v xml:space="preserve">AAM2 </v>
          </cell>
        </row>
        <row r="183">
          <cell r="B183" t="str">
            <v xml:space="preserve">A8NA </v>
          </cell>
          <cell r="D183" t="str">
            <v>D</v>
          </cell>
          <cell r="E183" t="str">
            <v>28953</v>
          </cell>
          <cell r="F183" t="str">
            <v>20-30115</v>
          </cell>
          <cell r="L183" t="str">
            <v>WASHER,FLAT</v>
          </cell>
          <cell r="R183" t="str">
            <v>5310</v>
          </cell>
          <cell r="S183" t="str">
            <v>015096341</v>
          </cell>
          <cell r="V183" t="str">
            <v>0000000005</v>
          </cell>
          <cell r="AJ183" t="str">
            <v xml:space="preserve">AAM2 </v>
          </cell>
        </row>
        <row r="184">
          <cell r="B184" t="str">
            <v xml:space="preserve">A8T6 </v>
          </cell>
          <cell r="D184" t="str">
            <v>D</v>
          </cell>
          <cell r="E184" t="str">
            <v>0Y3H3</v>
          </cell>
          <cell r="F184" t="str">
            <v>1140383</v>
          </cell>
          <cell r="L184" t="str">
            <v>WASHER,LOCK</v>
          </cell>
          <cell r="R184" t="str">
            <v>5310</v>
          </cell>
          <cell r="S184" t="str">
            <v>015535052</v>
          </cell>
          <cell r="V184" t="str">
            <v>0000000003</v>
          </cell>
          <cell r="AJ184" t="str">
            <v xml:space="preserve">AAM2 </v>
          </cell>
        </row>
        <row r="185">
          <cell r="B185" t="str">
            <v xml:space="preserve">A8Z2 </v>
          </cell>
          <cell r="D185" t="str">
            <v>C</v>
          </cell>
          <cell r="E185" t="str">
            <v>0UJB5</v>
          </cell>
          <cell r="F185" t="str">
            <v>MIL-001-1542</v>
          </cell>
          <cell r="L185" t="str">
            <v>CABLE ASSEMBLY,SPEC</v>
          </cell>
          <cell r="R185" t="str">
            <v/>
          </cell>
          <cell r="S185" t="str">
            <v/>
          </cell>
          <cell r="V185" t="str">
            <v>0000061821</v>
          </cell>
          <cell r="AJ185" t="str">
            <v xml:space="preserve">AAF6 </v>
          </cell>
        </row>
        <row r="186">
          <cell r="B186" t="str">
            <v xml:space="preserve">A85Y </v>
          </cell>
          <cell r="D186" t="str">
            <v>D</v>
          </cell>
          <cell r="E186" t="str">
            <v>0UJB5</v>
          </cell>
          <cell r="F186" t="str">
            <v>MIL-001-167</v>
          </cell>
          <cell r="L186" t="str">
            <v>SWITCH,BOX</v>
          </cell>
          <cell r="R186" t="str">
            <v>5930</v>
          </cell>
          <cell r="S186" t="str">
            <v>015659519</v>
          </cell>
          <cell r="V186" t="str">
            <v>0000030214</v>
          </cell>
          <cell r="AJ186" t="str">
            <v xml:space="preserve">A8Z2 </v>
          </cell>
        </row>
        <row r="187">
          <cell r="B187" t="str">
            <v xml:space="preserve">A9BU </v>
          </cell>
          <cell r="D187" t="str">
            <v>D</v>
          </cell>
          <cell r="E187" t="str">
            <v>0XLF2</v>
          </cell>
          <cell r="F187" t="str">
            <v>S2212</v>
          </cell>
          <cell r="L187" t="str">
            <v>STRAIN RELIEF,ELECT</v>
          </cell>
          <cell r="R187" t="str">
            <v/>
          </cell>
          <cell r="S187" t="str">
            <v/>
          </cell>
          <cell r="V187" t="str">
            <v>0000000119</v>
          </cell>
          <cell r="AJ187" t="str">
            <v xml:space="preserve">A8Z2 </v>
          </cell>
        </row>
        <row r="188">
          <cell r="B188" t="str">
            <v xml:space="preserve">A9HQ </v>
          </cell>
          <cell r="D188" t="str">
            <v>D</v>
          </cell>
          <cell r="E188" t="str">
            <v>0UJB5</v>
          </cell>
          <cell r="F188" t="str">
            <v>MIL-001-723</v>
          </cell>
          <cell r="L188" t="str">
            <v>CONNECTOR,RECEPTACL</v>
          </cell>
          <cell r="R188" t="str">
            <v>5935</v>
          </cell>
          <cell r="S188" t="str">
            <v>016005372</v>
          </cell>
          <cell r="V188" t="str">
            <v>0000000857</v>
          </cell>
          <cell r="AJ188" t="str">
            <v xml:space="preserve">A8Z2 </v>
          </cell>
        </row>
        <row r="189">
          <cell r="B189" t="str">
            <v xml:space="preserve">A9PL </v>
          </cell>
          <cell r="D189" t="str">
            <v>D</v>
          </cell>
          <cell r="E189" t="str">
            <v>0UJB5</v>
          </cell>
          <cell r="F189" t="str">
            <v>MIL-001-724</v>
          </cell>
          <cell r="L189" t="str">
            <v>CONNECTOR SET,ELECT</v>
          </cell>
          <cell r="R189" t="str">
            <v>5935</v>
          </cell>
          <cell r="S189" t="str">
            <v>015738773</v>
          </cell>
          <cell r="V189" t="str">
            <v>0000005202</v>
          </cell>
          <cell r="AJ189" t="str">
            <v xml:space="preserve">A8Z2 </v>
          </cell>
        </row>
        <row r="190">
          <cell r="B190" t="str">
            <v xml:space="preserve">A9VG </v>
          </cell>
          <cell r="D190" t="str">
            <v>D</v>
          </cell>
          <cell r="E190" t="str">
            <v>0D5M6</v>
          </cell>
          <cell r="F190" t="str">
            <v>732383004</v>
          </cell>
          <cell r="L190" t="str">
            <v>SCREW,MACHINE</v>
          </cell>
          <cell r="R190" t="str">
            <v/>
          </cell>
          <cell r="S190" t="str">
            <v/>
          </cell>
          <cell r="V190" t="str">
            <v>0000000010</v>
          </cell>
          <cell r="AJ190" t="str">
            <v xml:space="preserve">A8Z2 </v>
          </cell>
        </row>
        <row r="191">
          <cell r="B191" t="str">
            <v xml:space="preserve">A91C </v>
          </cell>
          <cell r="D191" t="str">
            <v>D</v>
          </cell>
          <cell r="E191" t="str">
            <v>98410</v>
          </cell>
          <cell r="F191" t="str">
            <v>927801-118</v>
          </cell>
          <cell r="L191" t="str">
            <v>CONNECTOR BODY,PLUG</v>
          </cell>
          <cell r="R191" t="str">
            <v>5935</v>
          </cell>
          <cell r="S191" t="str">
            <v>015721003</v>
          </cell>
          <cell r="V191" t="str">
            <v>0000000883</v>
          </cell>
          <cell r="AJ191" t="str">
            <v xml:space="preserve">A8Z2 </v>
          </cell>
        </row>
        <row r="192">
          <cell r="B192" t="str">
            <v xml:space="preserve">A968 </v>
          </cell>
          <cell r="D192" t="str">
            <v>D</v>
          </cell>
          <cell r="E192" t="str">
            <v>0D5M6</v>
          </cell>
          <cell r="F192" t="str">
            <v>730801-002</v>
          </cell>
          <cell r="L192" t="str">
            <v>GASKET</v>
          </cell>
          <cell r="R192" t="str">
            <v>5330</v>
          </cell>
          <cell r="S192" t="str">
            <v>015057687</v>
          </cell>
          <cell r="V192" t="str">
            <v>0000000037</v>
          </cell>
          <cell r="AJ192" t="str">
            <v xml:space="preserve">A8Z2 </v>
          </cell>
        </row>
        <row r="193">
          <cell r="B193" t="str">
            <v xml:space="preserve">BAC4 </v>
          </cell>
          <cell r="D193" t="str">
            <v>D</v>
          </cell>
          <cell r="E193" t="str">
            <v>11139</v>
          </cell>
          <cell r="F193" t="str">
            <v>DT04-4P</v>
          </cell>
          <cell r="L193" t="str">
            <v>CONNECTOR,PLUG,ELEC</v>
          </cell>
          <cell r="R193" t="str">
            <v>5935</v>
          </cell>
          <cell r="S193" t="str">
            <v>015034847</v>
          </cell>
          <cell r="V193" t="str">
            <v>0000000126</v>
          </cell>
          <cell r="AJ193" t="str">
            <v xml:space="preserve">A8Z2 </v>
          </cell>
        </row>
        <row r="194">
          <cell r="B194" t="str">
            <v xml:space="preserve">BAJ0 </v>
          </cell>
          <cell r="D194" t="str">
            <v>D</v>
          </cell>
          <cell r="E194" t="str">
            <v>11139</v>
          </cell>
          <cell r="F194" t="str">
            <v>W4P</v>
          </cell>
          <cell r="L194" t="str">
            <v>RETAINER,ELECTRICAL</v>
          </cell>
          <cell r="R194" t="str">
            <v>5935</v>
          </cell>
          <cell r="S194" t="str">
            <v>015037348</v>
          </cell>
          <cell r="V194" t="str">
            <v>0000000009</v>
          </cell>
          <cell r="AJ194" t="str">
            <v xml:space="preserve">A8Z2 </v>
          </cell>
        </row>
        <row r="195">
          <cell r="B195" t="str">
            <v xml:space="preserve">BAQW </v>
          </cell>
          <cell r="D195" t="str">
            <v>D</v>
          </cell>
          <cell r="E195" t="str">
            <v>11139</v>
          </cell>
          <cell r="F195" t="str">
            <v>0460-202-16141</v>
          </cell>
          <cell r="L195" t="str">
            <v>CONTACT,ELECTRICAL</v>
          </cell>
          <cell r="R195" t="str">
            <v>5999</v>
          </cell>
          <cell r="S195" t="str">
            <v>012163648</v>
          </cell>
          <cell r="V195" t="str">
            <v>0000000032</v>
          </cell>
          <cell r="AJ195" t="str">
            <v xml:space="preserve">A8Z2 </v>
          </cell>
        </row>
        <row r="196">
          <cell r="B196" t="str">
            <v xml:space="preserve">BAWS </v>
          </cell>
          <cell r="D196" t="str">
            <v>C</v>
          </cell>
          <cell r="E196" t="str">
            <v>0UJB5</v>
          </cell>
          <cell r="F196" t="str">
            <v>MIL-001-619</v>
          </cell>
          <cell r="L196" t="str">
            <v>HOSE,NONMETALLIC</v>
          </cell>
          <cell r="R196" t="str">
            <v/>
          </cell>
          <cell r="S196" t="str">
            <v/>
          </cell>
          <cell r="V196" t="str">
            <v>0000018531</v>
          </cell>
          <cell r="AJ196" t="str">
            <v xml:space="preserve">AAF6 </v>
          </cell>
        </row>
        <row r="197">
          <cell r="B197" t="str">
            <v xml:space="preserve">BA2N </v>
          </cell>
          <cell r="D197" t="str">
            <v>C</v>
          </cell>
          <cell r="E197" t="str">
            <v>0UJB5</v>
          </cell>
          <cell r="F197" t="str">
            <v>MIL-001-1541</v>
          </cell>
          <cell r="L197" t="str">
            <v>CABLE ASSEMBLY,SPEC</v>
          </cell>
          <cell r="R197" t="str">
            <v/>
          </cell>
          <cell r="S197" t="str">
            <v/>
          </cell>
          <cell r="V197" t="str">
            <v>0000008261</v>
          </cell>
          <cell r="AJ197" t="str">
            <v xml:space="preserve">AAF6 </v>
          </cell>
        </row>
        <row r="198">
          <cell r="B198" t="str">
            <v xml:space="preserve">BA8J </v>
          </cell>
          <cell r="D198" t="str">
            <v>D</v>
          </cell>
          <cell r="E198" t="str">
            <v>39428</v>
          </cell>
          <cell r="F198" t="str">
            <v>7106K18</v>
          </cell>
          <cell r="L198" t="str">
            <v>TERMINAL,LUG</v>
          </cell>
          <cell r="R198" t="str">
            <v>5940</v>
          </cell>
          <cell r="S198" t="str">
            <v>012487774</v>
          </cell>
          <cell r="V198" t="str">
            <v>0000000442</v>
          </cell>
          <cell r="AJ198" t="str">
            <v xml:space="preserve">BA2N </v>
          </cell>
        </row>
        <row r="199">
          <cell r="B199" t="str">
            <v xml:space="preserve">BBEE </v>
          </cell>
          <cell r="D199" t="str">
            <v>D</v>
          </cell>
          <cell r="E199" t="str">
            <v>034K5</v>
          </cell>
          <cell r="F199" t="str">
            <v>907-BK</v>
          </cell>
          <cell r="L199" t="str">
            <v>TERMINAL</v>
          </cell>
          <cell r="R199" t="str">
            <v/>
          </cell>
          <cell r="S199" t="str">
            <v/>
          </cell>
          <cell r="V199" t="str">
            <v>0000000659</v>
          </cell>
          <cell r="AJ199" t="str">
            <v xml:space="preserve">BA2N </v>
          </cell>
        </row>
        <row r="200">
          <cell r="B200" t="str">
            <v xml:space="preserve">BBLA </v>
          </cell>
          <cell r="D200" t="str">
            <v>D</v>
          </cell>
          <cell r="E200" t="str">
            <v>034K5</v>
          </cell>
          <cell r="F200" t="str">
            <v>P906-BK</v>
          </cell>
          <cell r="L200" t="str">
            <v>CONNECTOR,PLUG,ELEC</v>
          </cell>
          <cell r="R200" t="str">
            <v/>
          </cell>
          <cell r="S200" t="str">
            <v/>
          </cell>
          <cell r="V200" t="str">
            <v>0000001702</v>
          </cell>
          <cell r="AJ200" t="str">
            <v xml:space="preserve">BA2N </v>
          </cell>
        </row>
        <row r="201">
          <cell r="B201" t="str">
            <v xml:space="preserve">BBR6 </v>
          </cell>
          <cell r="D201" t="str">
            <v>D</v>
          </cell>
          <cell r="E201" t="str">
            <v>0UJB5</v>
          </cell>
          <cell r="F201" t="str">
            <v>MIL-001-765</v>
          </cell>
          <cell r="L201" t="str">
            <v>CONDUIT,NONMETALLIC</v>
          </cell>
          <cell r="R201" t="str">
            <v/>
          </cell>
          <cell r="S201" t="str">
            <v/>
          </cell>
          <cell r="V201" t="str">
            <v>0000000500</v>
          </cell>
          <cell r="AJ201" t="str">
            <v xml:space="preserve">BA2N </v>
          </cell>
        </row>
        <row r="202">
          <cell r="B202" t="str">
            <v xml:space="preserve">BBX2 </v>
          </cell>
          <cell r="D202" t="str">
            <v>D</v>
          </cell>
          <cell r="E202" t="str">
            <v>0UJB5</v>
          </cell>
          <cell r="F202" t="str">
            <v>MIL-001-806</v>
          </cell>
          <cell r="L202" t="str">
            <v>WIRE,ELECTRICAL</v>
          </cell>
          <cell r="R202" t="str">
            <v/>
          </cell>
          <cell r="S202" t="str">
            <v/>
          </cell>
          <cell r="V202" t="str">
            <v>0000002000</v>
          </cell>
          <cell r="AJ202" t="str">
            <v xml:space="preserve">BA2N </v>
          </cell>
        </row>
        <row r="203">
          <cell r="B203" t="str">
            <v xml:space="preserve">BB3Y </v>
          </cell>
          <cell r="D203" t="str">
            <v>D</v>
          </cell>
          <cell r="E203" t="str">
            <v>0PVE5</v>
          </cell>
          <cell r="F203" t="str">
            <v>18694</v>
          </cell>
          <cell r="L203" t="str">
            <v>HEAT SHRINK SLEEVE</v>
          </cell>
          <cell r="R203" t="str">
            <v/>
          </cell>
          <cell r="S203" t="str">
            <v/>
          </cell>
          <cell r="V203" t="str">
            <v>0000001000</v>
          </cell>
          <cell r="AJ203" t="str">
            <v xml:space="preserve">BA2N </v>
          </cell>
        </row>
        <row r="204">
          <cell r="B204" t="str">
            <v xml:space="preserve">BB9U </v>
          </cell>
          <cell r="D204" t="str">
            <v>D</v>
          </cell>
          <cell r="E204" t="str">
            <v>0UJB5</v>
          </cell>
          <cell r="F204" t="str">
            <v>MIL-001-808</v>
          </cell>
          <cell r="L204" t="str">
            <v>WIRE,ELECTRICAL</v>
          </cell>
          <cell r="R204" t="str">
            <v/>
          </cell>
          <cell r="S204" t="str">
            <v/>
          </cell>
          <cell r="V204" t="str">
            <v>0000001000</v>
          </cell>
          <cell r="AJ204" t="str">
            <v xml:space="preserve">BA2N </v>
          </cell>
        </row>
        <row r="205">
          <cell r="B205" t="str">
            <v xml:space="preserve">BCFQ </v>
          </cell>
          <cell r="D205" t="str">
            <v>D</v>
          </cell>
          <cell r="E205" t="str">
            <v>0PVE5</v>
          </cell>
          <cell r="F205" t="str">
            <v>18693</v>
          </cell>
          <cell r="L205" t="str">
            <v>HEAT SHRINK SLEEVE</v>
          </cell>
          <cell r="R205" t="str">
            <v/>
          </cell>
          <cell r="S205" t="str">
            <v/>
          </cell>
          <cell r="V205" t="str">
            <v>0000000500</v>
          </cell>
          <cell r="AJ205" t="str">
            <v xml:space="preserve">BA2N </v>
          </cell>
        </row>
        <row r="206">
          <cell r="B206" t="str">
            <v xml:space="preserve">BCML </v>
          </cell>
          <cell r="D206" t="str">
            <v>D</v>
          </cell>
          <cell r="E206" t="str">
            <v>0UJB5</v>
          </cell>
          <cell r="F206" t="str">
            <v>MIL-001-764</v>
          </cell>
          <cell r="L206" t="str">
            <v>CONDUIT,NONMETALLIC</v>
          </cell>
          <cell r="R206" t="str">
            <v/>
          </cell>
          <cell r="S206" t="str">
            <v/>
          </cell>
          <cell r="V206" t="str">
            <v>0000001000</v>
          </cell>
          <cell r="AJ206" t="str">
            <v xml:space="preserve">BA2N </v>
          </cell>
        </row>
        <row r="207">
          <cell r="B207" t="str">
            <v xml:space="preserve">BCTG </v>
          </cell>
          <cell r="D207" t="str">
            <v>C</v>
          </cell>
          <cell r="E207" t="str">
            <v>0UJB5</v>
          </cell>
          <cell r="F207" t="str">
            <v>MIL-001-047</v>
          </cell>
          <cell r="L207" t="str">
            <v>BOOM</v>
          </cell>
          <cell r="R207" t="str">
            <v/>
          </cell>
          <cell r="S207" t="str">
            <v/>
          </cell>
          <cell r="V207" t="str">
            <v>0001151249</v>
          </cell>
          <cell r="AJ207" t="str">
            <v xml:space="preserve">AAF6 </v>
          </cell>
        </row>
        <row r="208">
          <cell r="B208" t="str">
            <v xml:space="preserve">BCZC </v>
          </cell>
          <cell r="D208" t="str">
            <v>D</v>
          </cell>
          <cell r="E208" t="str">
            <v>0UJB5</v>
          </cell>
          <cell r="F208" t="str">
            <v>MIL-001-870</v>
          </cell>
          <cell r="L208" t="str">
            <v>BOOM SECTION,OUTER,</v>
          </cell>
          <cell r="R208" t="str">
            <v/>
          </cell>
          <cell r="S208" t="str">
            <v/>
          </cell>
          <cell r="V208" t="str">
            <v>0000250431</v>
          </cell>
          <cell r="AJ208" t="str">
            <v xml:space="preserve">BCTG </v>
          </cell>
        </row>
        <row r="209">
          <cell r="B209" t="str">
            <v xml:space="preserve">BC48 </v>
          </cell>
          <cell r="D209" t="str">
            <v>D</v>
          </cell>
          <cell r="E209" t="str">
            <v>0UJB5</v>
          </cell>
          <cell r="F209" t="str">
            <v>MIL-001-869</v>
          </cell>
          <cell r="L209" t="str">
            <v>BOOM SECTION,INNER,</v>
          </cell>
          <cell r="R209" t="str">
            <v>2590</v>
          </cell>
          <cell r="S209" t="str">
            <v>015659154</v>
          </cell>
          <cell r="V209" t="str">
            <v>0000031492</v>
          </cell>
          <cell r="AJ209" t="str">
            <v xml:space="preserve">BCTG </v>
          </cell>
        </row>
        <row r="210">
          <cell r="B210" t="str">
            <v xml:space="preserve">BDA4 </v>
          </cell>
          <cell r="D210" t="str">
            <v>D</v>
          </cell>
          <cell r="E210" t="str">
            <v>1UHB4</v>
          </cell>
          <cell r="F210" t="str">
            <v>26410</v>
          </cell>
          <cell r="L210" t="str">
            <v>BOLT,SHOULDER</v>
          </cell>
          <cell r="R210" t="str">
            <v>5306</v>
          </cell>
          <cell r="S210" t="str">
            <v>016005346</v>
          </cell>
          <cell r="V210" t="str">
            <v>0000004296</v>
          </cell>
          <cell r="AJ210" t="str">
            <v xml:space="preserve">BCTG </v>
          </cell>
        </row>
        <row r="211">
          <cell r="B211" t="str">
            <v xml:space="preserve">BDG0 </v>
          </cell>
          <cell r="D211" t="str">
            <v>D</v>
          </cell>
          <cell r="E211" t="str">
            <v>39428</v>
          </cell>
          <cell r="F211" t="str">
            <v>90126A038</v>
          </cell>
          <cell r="L211" t="str">
            <v>WASHER,FLAT</v>
          </cell>
          <cell r="R211" t="str">
            <v>5310</v>
          </cell>
          <cell r="S211" t="str">
            <v>015915664</v>
          </cell>
          <cell r="V211" t="str">
            <v>0000000040</v>
          </cell>
          <cell r="AJ211" t="str">
            <v xml:space="preserve">BCTG </v>
          </cell>
        </row>
        <row r="212">
          <cell r="B212" t="str">
            <v xml:space="preserve">BDNW </v>
          </cell>
          <cell r="D212" t="str">
            <v>D</v>
          </cell>
          <cell r="E212" t="str">
            <v>0UJB5</v>
          </cell>
          <cell r="F212" t="str">
            <v>MIL-001-331</v>
          </cell>
          <cell r="L212" t="str">
            <v>WASHER,FLAT</v>
          </cell>
          <cell r="R212" t="str">
            <v>5310</v>
          </cell>
          <cell r="S212" t="str">
            <v>015738807</v>
          </cell>
          <cell r="V212" t="str">
            <v>0000000121</v>
          </cell>
          <cell r="AJ212" t="str">
            <v xml:space="preserve">BCTG </v>
          </cell>
        </row>
        <row r="213">
          <cell r="B213" t="str">
            <v xml:space="preserve">BDUS </v>
          </cell>
          <cell r="D213" t="str">
            <v>D</v>
          </cell>
          <cell r="E213" t="str">
            <v>0Y3H3</v>
          </cell>
          <cell r="F213" t="str">
            <v>37579</v>
          </cell>
          <cell r="L213" t="str">
            <v>NUT,SELF-LOCKING,HE</v>
          </cell>
          <cell r="R213" t="str">
            <v>5310</v>
          </cell>
          <cell r="S213" t="str">
            <v>016005344</v>
          </cell>
          <cell r="V213" t="str">
            <v>0000000131</v>
          </cell>
          <cell r="AJ213" t="str">
            <v xml:space="preserve">BCTG </v>
          </cell>
        </row>
        <row r="214">
          <cell r="B214" t="str">
            <v xml:space="preserve">BD0N </v>
          </cell>
          <cell r="D214" t="str">
            <v>D</v>
          </cell>
          <cell r="E214" t="str">
            <v>0UJB5</v>
          </cell>
          <cell r="F214" t="str">
            <v>MIL-001-078</v>
          </cell>
          <cell r="L214" t="str">
            <v>CYLINDER ASSEMBLY,A</v>
          </cell>
          <cell r="R214" t="str">
            <v>3040</v>
          </cell>
          <cell r="S214" t="str">
            <v>015645678</v>
          </cell>
          <cell r="V214" t="str">
            <v>0000084160</v>
          </cell>
          <cell r="AJ214" t="str">
            <v xml:space="preserve">BCTG </v>
          </cell>
        </row>
        <row r="215">
          <cell r="B215" t="str">
            <v xml:space="preserve">BD6J </v>
          </cell>
          <cell r="D215" t="str">
            <v>E</v>
          </cell>
          <cell r="E215" t="str">
            <v>0UJB5</v>
          </cell>
          <cell r="F215" t="str">
            <v>MIL-001-203</v>
          </cell>
          <cell r="L215" t="str">
            <v>CYLINDER ASSEMBLY,A</v>
          </cell>
          <cell r="R215" t="str">
            <v/>
          </cell>
          <cell r="S215" t="str">
            <v/>
          </cell>
          <cell r="V215" t="str">
            <v>0000072000</v>
          </cell>
          <cell r="AJ215" t="str">
            <v xml:space="preserve">BD0N </v>
          </cell>
        </row>
        <row r="216">
          <cell r="B216" t="str">
            <v xml:space="preserve">BECE </v>
          </cell>
          <cell r="D216" t="str">
            <v>F</v>
          </cell>
          <cell r="E216" t="str">
            <v>0UJB5</v>
          </cell>
          <cell r="F216" t="str">
            <v>MIL-001-1561</v>
          </cell>
          <cell r="L216" t="str">
            <v>BODY,CYLINDER</v>
          </cell>
          <cell r="R216" t="str">
            <v/>
          </cell>
          <cell r="S216" t="str">
            <v/>
          </cell>
          <cell r="V216" t="str">
            <v>0000203717</v>
          </cell>
          <cell r="AJ216" t="str">
            <v xml:space="preserve">BD6J </v>
          </cell>
        </row>
        <row r="217">
          <cell r="B217" t="str">
            <v xml:space="preserve">BEJA </v>
          </cell>
          <cell r="D217" t="str">
            <v>F</v>
          </cell>
          <cell r="E217" t="str">
            <v>0UJB5</v>
          </cell>
          <cell r="F217" t="str">
            <v>MIL-001-1562</v>
          </cell>
          <cell r="L217" t="str">
            <v>ROD</v>
          </cell>
          <cell r="R217" t="str">
            <v/>
          </cell>
          <cell r="S217" t="str">
            <v/>
          </cell>
          <cell r="V217" t="str">
            <v>0000009958</v>
          </cell>
          <cell r="AJ217" t="str">
            <v xml:space="preserve">BD6J </v>
          </cell>
        </row>
        <row r="218">
          <cell r="B218" t="str">
            <v xml:space="preserve">BEP6 </v>
          </cell>
          <cell r="D218" t="str">
            <v>F</v>
          </cell>
          <cell r="E218" t="str">
            <v>0UJB5</v>
          </cell>
          <cell r="F218" t="str">
            <v>MIL-001-1551</v>
          </cell>
          <cell r="L218" t="str">
            <v>NUT RING</v>
          </cell>
          <cell r="R218" t="str">
            <v/>
          </cell>
          <cell r="S218" t="str">
            <v/>
          </cell>
          <cell r="V218" t="str">
            <v>0000000725</v>
          </cell>
          <cell r="AJ218" t="str">
            <v xml:space="preserve">BD6J </v>
          </cell>
        </row>
        <row r="219">
          <cell r="B219" t="str">
            <v xml:space="preserve">BEV2 </v>
          </cell>
          <cell r="D219" t="str">
            <v>F</v>
          </cell>
          <cell r="E219" t="str">
            <v>0UJB5</v>
          </cell>
          <cell r="F219" t="str">
            <v>MIL-001-1552</v>
          </cell>
          <cell r="L219" t="str">
            <v>PISTON</v>
          </cell>
          <cell r="R219" t="str">
            <v/>
          </cell>
          <cell r="S219" t="str">
            <v/>
          </cell>
          <cell r="V219" t="str">
            <v>0000013800</v>
          </cell>
          <cell r="AJ219" t="str">
            <v xml:space="preserve">BD6J </v>
          </cell>
        </row>
        <row r="220">
          <cell r="B220" t="str">
            <v xml:space="preserve">BE1Y </v>
          </cell>
          <cell r="D220" t="str">
            <v>F</v>
          </cell>
          <cell r="E220" t="str">
            <v>0U5J4</v>
          </cell>
          <cell r="F220" t="str">
            <v>DBM 216153</v>
          </cell>
          <cell r="L220" t="str">
            <v>SEAL</v>
          </cell>
          <cell r="R220" t="str">
            <v/>
          </cell>
          <cell r="S220" t="str">
            <v/>
          </cell>
          <cell r="V220" t="str">
            <v>0000001275</v>
          </cell>
          <cell r="AJ220" t="str">
            <v xml:space="preserve">BD6J </v>
          </cell>
        </row>
        <row r="221">
          <cell r="B221" t="str">
            <v xml:space="preserve">BE7U </v>
          </cell>
          <cell r="D221" t="str">
            <v>F</v>
          </cell>
          <cell r="E221" t="str">
            <v>0UJB5</v>
          </cell>
          <cell r="F221" t="str">
            <v>MIL-001-1554</v>
          </cell>
          <cell r="L221" t="str">
            <v>O-RING</v>
          </cell>
          <cell r="R221" t="str">
            <v/>
          </cell>
          <cell r="S221" t="str">
            <v/>
          </cell>
          <cell r="V221" t="str">
            <v>0000000039</v>
          </cell>
          <cell r="AJ221" t="str">
            <v xml:space="preserve">BD6J </v>
          </cell>
        </row>
        <row r="222">
          <cell r="B222" t="str">
            <v xml:space="preserve">BFDQ </v>
          </cell>
          <cell r="D222" t="str">
            <v>F</v>
          </cell>
          <cell r="E222" t="str">
            <v>0UJB5</v>
          </cell>
          <cell r="F222" t="str">
            <v>MIL-001-1555</v>
          </cell>
          <cell r="L222" t="str">
            <v>O-RING</v>
          </cell>
          <cell r="R222" t="str">
            <v/>
          </cell>
          <cell r="S222" t="str">
            <v/>
          </cell>
          <cell r="V222" t="str">
            <v>0000000039</v>
          </cell>
          <cell r="AJ222" t="str">
            <v xml:space="preserve">BD6J </v>
          </cell>
        </row>
        <row r="223">
          <cell r="B223" t="str">
            <v xml:space="preserve">BFKL </v>
          </cell>
          <cell r="D223" t="str">
            <v>F</v>
          </cell>
          <cell r="E223" t="str">
            <v>0UJB5</v>
          </cell>
          <cell r="F223" t="str">
            <v>MIL-001-1556</v>
          </cell>
          <cell r="L223" t="str">
            <v>RING, SPLIT</v>
          </cell>
          <cell r="R223" t="str">
            <v/>
          </cell>
          <cell r="S223" t="str">
            <v/>
          </cell>
          <cell r="V223" t="str">
            <v>0000000609</v>
          </cell>
          <cell r="AJ223" t="str">
            <v xml:space="preserve">BD6J </v>
          </cell>
        </row>
        <row r="224">
          <cell r="B224" t="str">
            <v xml:space="preserve">BFRG </v>
          </cell>
          <cell r="D224" t="str">
            <v>F</v>
          </cell>
          <cell r="E224" t="str">
            <v>0UJB5</v>
          </cell>
          <cell r="F224" t="str">
            <v>MIL-001-1557</v>
          </cell>
          <cell r="L224" t="str">
            <v>O-RING</v>
          </cell>
          <cell r="R224" t="str">
            <v/>
          </cell>
          <cell r="S224" t="str">
            <v/>
          </cell>
          <cell r="V224" t="str">
            <v>0000000039</v>
          </cell>
          <cell r="AJ224" t="str">
            <v xml:space="preserve">BD6J </v>
          </cell>
        </row>
        <row r="225">
          <cell r="B225" t="str">
            <v xml:space="preserve">BFXC </v>
          </cell>
          <cell r="D225" t="str">
            <v>F</v>
          </cell>
          <cell r="E225" t="str">
            <v>0UJB5</v>
          </cell>
          <cell r="F225" t="str">
            <v>MIL-001-1558</v>
          </cell>
          <cell r="L225" t="str">
            <v>SEAL</v>
          </cell>
          <cell r="R225" t="str">
            <v/>
          </cell>
          <cell r="S225" t="str">
            <v/>
          </cell>
          <cell r="V225" t="str">
            <v>0000001275</v>
          </cell>
          <cell r="AJ225" t="str">
            <v xml:space="preserve">BD6J </v>
          </cell>
        </row>
        <row r="226">
          <cell r="B226" t="str">
            <v xml:space="preserve">BF28 </v>
          </cell>
          <cell r="D226" t="str">
            <v>F</v>
          </cell>
          <cell r="E226" t="str">
            <v>0UJB5</v>
          </cell>
          <cell r="F226" t="str">
            <v>MIL-001-1559</v>
          </cell>
          <cell r="L226" t="str">
            <v>DUST COVER</v>
          </cell>
          <cell r="R226" t="str">
            <v/>
          </cell>
          <cell r="S226" t="str">
            <v/>
          </cell>
          <cell r="V226" t="str">
            <v>0000004160</v>
          </cell>
          <cell r="AJ226" t="str">
            <v xml:space="preserve">BD6J </v>
          </cell>
        </row>
        <row r="227">
          <cell r="B227" t="str">
            <v xml:space="preserve">BF84 </v>
          </cell>
          <cell r="D227" t="str">
            <v>E</v>
          </cell>
          <cell r="E227" t="str">
            <v>45681</v>
          </cell>
          <cell r="F227" t="str">
            <v>6EMTXS</v>
          </cell>
          <cell r="L227" t="str">
            <v>ELBOW,TUBE</v>
          </cell>
          <cell r="R227" t="str">
            <v>4730</v>
          </cell>
          <cell r="S227" t="str">
            <v>016005351</v>
          </cell>
          <cell r="V227" t="str">
            <v>0000001479</v>
          </cell>
          <cell r="AJ227" t="str">
            <v xml:space="preserve">BD0N </v>
          </cell>
        </row>
        <row r="228">
          <cell r="B228" t="str">
            <v xml:space="preserve">BGE0 </v>
          </cell>
          <cell r="D228" t="str">
            <v>D</v>
          </cell>
          <cell r="E228" t="str">
            <v>0PVE5</v>
          </cell>
          <cell r="F228" t="str">
            <v>58697</v>
          </cell>
          <cell r="L228" t="str">
            <v>BOLT,SHOULDER</v>
          </cell>
          <cell r="R228" t="str">
            <v>5306</v>
          </cell>
          <cell r="S228" t="str">
            <v>015659334</v>
          </cell>
          <cell r="V228" t="str">
            <v>0000000470</v>
          </cell>
          <cell r="AJ228" t="str">
            <v xml:space="preserve">BCTG </v>
          </cell>
        </row>
        <row r="229">
          <cell r="B229" t="str">
            <v xml:space="preserve">BGLW </v>
          </cell>
          <cell r="D229" t="str">
            <v>D</v>
          </cell>
          <cell r="E229" t="str">
            <v>39428</v>
          </cell>
          <cell r="F229" t="str">
            <v>98180A160</v>
          </cell>
          <cell r="L229" t="str">
            <v>WASHER,FLAT</v>
          </cell>
          <cell r="R229" t="str">
            <v>5310</v>
          </cell>
          <cell r="S229" t="str">
            <v>015661004</v>
          </cell>
          <cell r="V229" t="str">
            <v>0000000086</v>
          </cell>
          <cell r="AJ229" t="str">
            <v xml:space="preserve">BCTG </v>
          </cell>
        </row>
        <row r="230">
          <cell r="B230" t="str">
            <v xml:space="preserve">BGSS </v>
          </cell>
          <cell r="D230" t="str">
            <v>D</v>
          </cell>
          <cell r="E230" t="str">
            <v>0Y3H3</v>
          </cell>
          <cell r="F230" t="str">
            <v>37577</v>
          </cell>
          <cell r="L230" t="str">
            <v>NUT,SELF-LOCKING,HE</v>
          </cell>
          <cell r="R230" t="str">
            <v>5310</v>
          </cell>
          <cell r="S230" t="str">
            <v>016005331</v>
          </cell>
          <cell r="V230" t="str">
            <v>0000000061</v>
          </cell>
          <cell r="AJ230" t="str">
            <v xml:space="preserve">BCTG </v>
          </cell>
        </row>
        <row r="231">
          <cell r="B231" t="str">
            <v xml:space="preserve">BGYN </v>
          </cell>
          <cell r="D231" t="str">
            <v>D</v>
          </cell>
          <cell r="E231" t="str">
            <v>0UJB5</v>
          </cell>
          <cell r="F231" t="str">
            <v>MIL-001-376</v>
          </cell>
          <cell r="L231" t="str">
            <v>HOSE ASSEMBLY,NONME</v>
          </cell>
          <cell r="R231" t="str">
            <v>4720</v>
          </cell>
          <cell r="S231" t="str">
            <v>015659271</v>
          </cell>
          <cell r="V231" t="str">
            <v>0000011520</v>
          </cell>
          <cell r="AJ231" t="str">
            <v xml:space="preserve">BCTG </v>
          </cell>
        </row>
        <row r="232">
          <cell r="B232" t="str">
            <v xml:space="preserve">BG4J </v>
          </cell>
          <cell r="D232" t="str">
            <v>D</v>
          </cell>
          <cell r="E232" t="str">
            <v>0UJB5</v>
          </cell>
          <cell r="F232" t="str">
            <v>MIL-001-377</v>
          </cell>
          <cell r="L232" t="str">
            <v>HOSE ASSEMBLY,NONME</v>
          </cell>
          <cell r="R232" t="str">
            <v>4720</v>
          </cell>
          <cell r="S232" t="str">
            <v>015660774</v>
          </cell>
          <cell r="V232" t="str">
            <v>0000012600</v>
          </cell>
          <cell r="AJ232" t="str">
            <v xml:space="preserve">BCTG </v>
          </cell>
        </row>
        <row r="233">
          <cell r="B233" t="str">
            <v xml:space="preserve">BHAE </v>
          </cell>
          <cell r="D233" t="str">
            <v>D</v>
          </cell>
          <cell r="E233" t="str">
            <v>0UJB5</v>
          </cell>
          <cell r="F233" t="str">
            <v>MIL-001-130</v>
          </cell>
          <cell r="L233" t="str">
            <v>CYLINDER ASSEMBLY,A</v>
          </cell>
          <cell r="R233" t="str">
            <v/>
          </cell>
          <cell r="S233" t="str">
            <v/>
          </cell>
          <cell r="V233" t="str">
            <v>0000151878</v>
          </cell>
          <cell r="AJ233" t="str">
            <v xml:space="preserve">BCTG </v>
          </cell>
        </row>
        <row r="234">
          <cell r="B234" t="str">
            <v xml:space="preserve">BHGA </v>
          </cell>
          <cell r="D234" t="str">
            <v>E</v>
          </cell>
          <cell r="E234" t="str">
            <v>0UJB5</v>
          </cell>
          <cell r="F234" t="str">
            <v>MIL-001-208</v>
          </cell>
          <cell r="L234" t="str">
            <v>CYLINDER,ACTUATING,</v>
          </cell>
          <cell r="R234" t="str">
            <v>3040</v>
          </cell>
          <cell r="S234" t="str">
            <v>015668024</v>
          </cell>
          <cell r="V234" t="str">
            <v>0000087846</v>
          </cell>
          <cell r="AJ234" t="str">
            <v xml:space="preserve">BHAE </v>
          </cell>
        </row>
        <row r="235">
          <cell r="B235" t="str">
            <v xml:space="preserve">BHM6 </v>
          </cell>
          <cell r="D235" t="str">
            <v>F</v>
          </cell>
          <cell r="E235" t="str">
            <v>0UJB5</v>
          </cell>
          <cell r="F235" t="str">
            <v>MIL-001-1549</v>
          </cell>
          <cell r="L235" t="str">
            <v>BODY,CYLINDER</v>
          </cell>
          <cell r="R235" t="str">
            <v/>
          </cell>
          <cell r="S235" t="str">
            <v/>
          </cell>
          <cell r="V235" t="str">
            <v>0000023717</v>
          </cell>
          <cell r="AJ235" t="str">
            <v xml:space="preserve">BHGA </v>
          </cell>
        </row>
        <row r="236">
          <cell r="B236" t="str">
            <v xml:space="preserve">BHT2 </v>
          </cell>
          <cell r="D236" t="str">
            <v>F</v>
          </cell>
          <cell r="E236" t="str">
            <v>0UJB5</v>
          </cell>
          <cell r="F236" t="str">
            <v>MIL-001-1550</v>
          </cell>
          <cell r="L236" t="str">
            <v>ROD</v>
          </cell>
          <cell r="R236" t="str">
            <v/>
          </cell>
          <cell r="S236" t="str">
            <v/>
          </cell>
          <cell r="V236" t="str">
            <v>0000007850</v>
          </cell>
          <cell r="AJ236" t="str">
            <v xml:space="preserve">BHGA </v>
          </cell>
        </row>
        <row r="237">
          <cell r="B237" t="str">
            <v xml:space="preserve">BHZY </v>
          </cell>
          <cell r="D237" t="str">
            <v>F</v>
          </cell>
          <cell r="E237" t="str">
            <v>0UJB5</v>
          </cell>
          <cell r="F237" t="str">
            <v>MIL-001-1551</v>
          </cell>
          <cell r="L237" t="str">
            <v>NUT RING</v>
          </cell>
          <cell r="R237" t="str">
            <v/>
          </cell>
          <cell r="S237" t="str">
            <v/>
          </cell>
          <cell r="V237" t="str">
            <v>0000000725</v>
          </cell>
          <cell r="AJ237" t="str">
            <v xml:space="preserve">BHGA </v>
          </cell>
        </row>
        <row r="238">
          <cell r="B238" t="str">
            <v xml:space="preserve">BH5U </v>
          </cell>
          <cell r="D238" t="str">
            <v>F</v>
          </cell>
          <cell r="E238" t="str">
            <v>0UJB5</v>
          </cell>
          <cell r="F238" t="str">
            <v>MIL-001-1552</v>
          </cell>
          <cell r="L238" t="str">
            <v>PISTON</v>
          </cell>
          <cell r="R238" t="str">
            <v/>
          </cell>
          <cell r="S238" t="str">
            <v/>
          </cell>
          <cell r="V238" t="str">
            <v>0000013800</v>
          </cell>
          <cell r="AJ238" t="str">
            <v xml:space="preserve">BHGA </v>
          </cell>
        </row>
        <row r="239">
          <cell r="B239" t="str">
            <v xml:space="preserve">BJBQ </v>
          </cell>
          <cell r="D239" t="str">
            <v>F</v>
          </cell>
          <cell r="E239" t="str">
            <v>0U5J4</v>
          </cell>
          <cell r="F239" t="str">
            <v>DBM 216153</v>
          </cell>
          <cell r="L239" t="str">
            <v>SEAL</v>
          </cell>
          <cell r="R239" t="str">
            <v/>
          </cell>
          <cell r="S239" t="str">
            <v/>
          </cell>
          <cell r="V239" t="str">
            <v>0000001275</v>
          </cell>
          <cell r="AJ239" t="str">
            <v xml:space="preserve">BHGA </v>
          </cell>
        </row>
        <row r="240">
          <cell r="B240" t="str">
            <v xml:space="preserve">BJHL </v>
          </cell>
          <cell r="D240" t="str">
            <v>F</v>
          </cell>
          <cell r="E240" t="str">
            <v>0UJB5</v>
          </cell>
          <cell r="F240" t="str">
            <v>MIL-001-1554</v>
          </cell>
          <cell r="L240" t="str">
            <v>O-RING</v>
          </cell>
          <cell r="R240" t="str">
            <v/>
          </cell>
          <cell r="S240" t="str">
            <v/>
          </cell>
          <cell r="V240" t="str">
            <v>0000000039</v>
          </cell>
          <cell r="AJ240" t="str">
            <v xml:space="preserve">BHGA </v>
          </cell>
        </row>
        <row r="241">
          <cell r="B241" t="str">
            <v xml:space="preserve">BJPG </v>
          </cell>
          <cell r="D241" t="str">
            <v>F</v>
          </cell>
          <cell r="E241" t="str">
            <v>0UJB5</v>
          </cell>
          <cell r="F241" t="str">
            <v>MIL-001-1555</v>
          </cell>
          <cell r="L241" t="str">
            <v>O-RING</v>
          </cell>
          <cell r="R241" t="str">
            <v/>
          </cell>
          <cell r="S241" t="str">
            <v/>
          </cell>
          <cell r="V241" t="str">
            <v>0000000039</v>
          </cell>
          <cell r="AJ241" t="str">
            <v xml:space="preserve">BHGA </v>
          </cell>
        </row>
        <row r="242">
          <cell r="B242" t="str">
            <v xml:space="preserve">BJVC </v>
          </cell>
          <cell r="D242" t="str">
            <v>F</v>
          </cell>
          <cell r="E242" t="str">
            <v>0UJB5</v>
          </cell>
          <cell r="F242" t="str">
            <v>MIL-001-1556</v>
          </cell>
          <cell r="L242" t="str">
            <v>RING, SPLIT</v>
          </cell>
          <cell r="R242" t="str">
            <v/>
          </cell>
          <cell r="S242" t="str">
            <v/>
          </cell>
          <cell r="V242" t="str">
            <v>0000000609</v>
          </cell>
          <cell r="AJ242" t="str">
            <v xml:space="preserve">BHGA </v>
          </cell>
        </row>
        <row r="243">
          <cell r="B243" t="str">
            <v xml:space="preserve">BJ08 </v>
          </cell>
          <cell r="D243" t="str">
            <v>F</v>
          </cell>
          <cell r="E243" t="str">
            <v>0UJB5</v>
          </cell>
          <cell r="F243" t="str">
            <v>MIL-001-1557</v>
          </cell>
          <cell r="L243" t="str">
            <v>O-RING</v>
          </cell>
          <cell r="R243" t="str">
            <v/>
          </cell>
          <cell r="S243" t="str">
            <v/>
          </cell>
          <cell r="V243" t="str">
            <v>0000000039</v>
          </cell>
          <cell r="AJ243" t="str">
            <v xml:space="preserve">BHGA </v>
          </cell>
        </row>
        <row r="244">
          <cell r="B244" t="str">
            <v xml:space="preserve">BJ64 </v>
          </cell>
          <cell r="D244" t="str">
            <v>F</v>
          </cell>
          <cell r="E244" t="str">
            <v>0UJB5</v>
          </cell>
          <cell r="F244" t="str">
            <v>MIL-001-1558</v>
          </cell>
          <cell r="L244" t="str">
            <v>SEAL</v>
          </cell>
          <cell r="R244" t="str">
            <v/>
          </cell>
          <cell r="S244" t="str">
            <v/>
          </cell>
          <cell r="V244" t="str">
            <v>0000001275</v>
          </cell>
          <cell r="AJ244" t="str">
            <v xml:space="preserve">BHGA </v>
          </cell>
        </row>
        <row r="245">
          <cell r="B245" t="str">
            <v xml:space="preserve">BKC0 </v>
          </cell>
          <cell r="D245" t="str">
            <v>F</v>
          </cell>
          <cell r="E245" t="str">
            <v>0UJB5</v>
          </cell>
          <cell r="F245" t="str">
            <v>MIL-001-1559</v>
          </cell>
          <cell r="L245" t="str">
            <v>DUST COVER</v>
          </cell>
          <cell r="R245" t="str">
            <v/>
          </cell>
          <cell r="S245" t="str">
            <v/>
          </cell>
          <cell r="V245" t="str">
            <v>0000004160</v>
          </cell>
          <cell r="AJ245" t="str">
            <v xml:space="preserve">BHGA </v>
          </cell>
        </row>
        <row r="246">
          <cell r="B246" t="str">
            <v xml:space="preserve">BKJW </v>
          </cell>
          <cell r="D246" t="str">
            <v>E</v>
          </cell>
          <cell r="E246" t="str">
            <v>0UJB5</v>
          </cell>
          <cell r="F246" t="str">
            <v>MIL-001-425</v>
          </cell>
          <cell r="L246" t="str">
            <v>TUBE ASSEMBLY,METAL</v>
          </cell>
          <cell r="R246" t="str">
            <v>4710</v>
          </cell>
          <cell r="S246" t="str">
            <v>015664391</v>
          </cell>
          <cell r="V246" t="str">
            <v>0000003487</v>
          </cell>
          <cell r="AJ246" t="str">
            <v xml:space="preserve">BHAE </v>
          </cell>
        </row>
        <row r="247">
          <cell r="B247" t="str">
            <v xml:space="preserve">BKQS </v>
          </cell>
          <cell r="D247" t="str">
            <v>E</v>
          </cell>
          <cell r="E247" t="str">
            <v>0UJB5</v>
          </cell>
          <cell r="F247" t="str">
            <v>MIL-001-426</v>
          </cell>
          <cell r="L247" t="str">
            <v>VALVE ASSEMBLY,MANI</v>
          </cell>
          <cell r="R247" t="str">
            <v>4820</v>
          </cell>
          <cell r="S247" t="str">
            <v>015660759</v>
          </cell>
          <cell r="V247" t="str">
            <v>0000029498</v>
          </cell>
          <cell r="AJ247" t="str">
            <v xml:space="preserve">BHAE </v>
          </cell>
        </row>
        <row r="248">
          <cell r="B248" t="str">
            <v xml:space="preserve">BKWN </v>
          </cell>
          <cell r="D248" t="str">
            <v>E</v>
          </cell>
          <cell r="E248" t="str">
            <v>45681</v>
          </cell>
          <cell r="F248" t="str">
            <v>6EMTXS</v>
          </cell>
          <cell r="L248" t="str">
            <v>ELBOW,TUBE</v>
          </cell>
          <cell r="R248" t="str">
            <v>4730</v>
          </cell>
          <cell r="S248" t="str">
            <v>016005351</v>
          </cell>
          <cell r="V248" t="str">
            <v>0000001479</v>
          </cell>
          <cell r="AJ248" t="str">
            <v xml:space="preserve">BHAE </v>
          </cell>
        </row>
        <row r="249">
          <cell r="B249" t="str">
            <v xml:space="preserve">BK2J </v>
          </cell>
          <cell r="D249" t="str">
            <v>D</v>
          </cell>
          <cell r="E249" t="str">
            <v>0UJB5</v>
          </cell>
          <cell r="F249" t="str">
            <v>MIL-001-378</v>
          </cell>
          <cell r="L249" t="str">
            <v>HOSE ASSEMBLY,NONME</v>
          </cell>
          <cell r="R249" t="str">
            <v>4720</v>
          </cell>
          <cell r="S249" t="str">
            <v>015664478</v>
          </cell>
          <cell r="V249" t="str">
            <v>0000008054</v>
          </cell>
          <cell r="AJ249" t="str">
            <v xml:space="preserve">BCTG </v>
          </cell>
        </row>
        <row r="250">
          <cell r="B250" t="str">
            <v xml:space="preserve">BK8E </v>
          </cell>
          <cell r="D250" t="str">
            <v>D</v>
          </cell>
          <cell r="E250" t="str">
            <v>0UJB5</v>
          </cell>
          <cell r="F250" t="str">
            <v>MIL-001-379</v>
          </cell>
          <cell r="L250" t="str">
            <v>HOSE ASSEMBLY,NONME</v>
          </cell>
          <cell r="R250" t="str">
            <v>4720</v>
          </cell>
          <cell r="S250" t="str">
            <v>015660674</v>
          </cell>
          <cell r="V250" t="str">
            <v>0000009862</v>
          </cell>
          <cell r="AJ250" t="str">
            <v xml:space="preserve">BCTG </v>
          </cell>
        </row>
        <row r="251">
          <cell r="B251" t="str">
            <v xml:space="preserve">BLEA </v>
          </cell>
          <cell r="D251" t="str">
            <v>D</v>
          </cell>
          <cell r="E251" t="str">
            <v>0UJB5</v>
          </cell>
          <cell r="F251" t="str">
            <v>MIL-001-222</v>
          </cell>
          <cell r="L251" t="str">
            <v>SADDLE,HOSE</v>
          </cell>
          <cell r="R251" t="str">
            <v>4730</v>
          </cell>
          <cell r="S251" t="str">
            <v>015662465</v>
          </cell>
          <cell r="V251" t="str">
            <v>0000001831</v>
          </cell>
          <cell r="AJ251" t="str">
            <v xml:space="preserve">BCTG </v>
          </cell>
        </row>
        <row r="252">
          <cell r="B252" t="str">
            <v xml:space="preserve">BLK6 </v>
          </cell>
          <cell r="D252" t="str">
            <v>D</v>
          </cell>
          <cell r="E252" t="str">
            <v>39428</v>
          </cell>
          <cell r="F252" t="str">
            <v>1105K71</v>
          </cell>
          <cell r="L252" t="str">
            <v>FITTING,LUBRICATION</v>
          </cell>
          <cell r="R252" t="str">
            <v>4730</v>
          </cell>
          <cell r="S252" t="str">
            <v>015333809</v>
          </cell>
          <cell r="V252" t="str">
            <v>0000000400</v>
          </cell>
          <cell r="AJ252" t="str">
            <v xml:space="preserve">BCTG </v>
          </cell>
        </row>
        <row r="253">
          <cell r="B253" t="str">
            <v xml:space="preserve">BLR2 </v>
          </cell>
          <cell r="D253" t="str">
            <v>D</v>
          </cell>
          <cell r="E253" t="str">
            <v>0UJB5</v>
          </cell>
          <cell r="F253" t="str">
            <v>MIL-001-799</v>
          </cell>
          <cell r="L253" t="str">
            <v>HOSE,NONMETALLIC</v>
          </cell>
          <cell r="R253" t="str">
            <v/>
          </cell>
          <cell r="S253" t="str">
            <v/>
          </cell>
          <cell r="V253" t="str">
            <v>0000000294</v>
          </cell>
          <cell r="AJ253" t="str">
            <v xml:space="preserve">BCTG </v>
          </cell>
        </row>
        <row r="254">
          <cell r="B254" t="str">
            <v xml:space="preserve">BLXY </v>
          </cell>
          <cell r="D254" t="str">
            <v>D</v>
          </cell>
          <cell r="E254" t="str">
            <v>0PVE5</v>
          </cell>
          <cell r="F254" t="str">
            <v>15523</v>
          </cell>
          <cell r="L254" t="str">
            <v>CLAMP,HOSE</v>
          </cell>
          <cell r="R254" t="str">
            <v>4730</v>
          </cell>
          <cell r="S254" t="str">
            <v>015672921</v>
          </cell>
          <cell r="V254" t="str">
            <v>0000002450</v>
          </cell>
          <cell r="AJ254" t="str">
            <v xml:space="preserve">BCTG </v>
          </cell>
        </row>
        <row r="255">
          <cell r="B255" t="str">
            <v xml:space="preserve">BL3U </v>
          </cell>
          <cell r="D255" t="str">
            <v>D</v>
          </cell>
          <cell r="E255" t="str">
            <v>0UJB5</v>
          </cell>
          <cell r="F255" t="str">
            <v>MIL-001-340</v>
          </cell>
          <cell r="L255" t="str">
            <v>BRACKET,MOUNTING</v>
          </cell>
          <cell r="R255" t="str">
            <v/>
          </cell>
          <cell r="S255" t="str">
            <v/>
          </cell>
          <cell r="V255" t="str">
            <v>0000039422</v>
          </cell>
          <cell r="AJ255" t="str">
            <v xml:space="preserve">BCTG </v>
          </cell>
        </row>
        <row r="256">
          <cell r="B256" t="str">
            <v xml:space="preserve">BL9Q </v>
          </cell>
          <cell r="D256" t="str">
            <v>D</v>
          </cell>
          <cell r="E256" t="str">
            <v>0UJB5</v>
          </cell>
          <cell r="F256" t="str">
            <v>MIL-001-761</v>
          </cell>
          <cell r="L256" t="str">
            <v>SCREW,CAP,HEXAGON H</v>
          </cell>
          <cell r="R256" t="str">
            <v>5305</v>
          </cell>
          <cell r="S256" t="str">
            <v>016005886</v>
          </cell>
          <cell r="V256" t="str">
            <v>0000000164</v>
          </cell>
          <cell r="AJ256" t="str">
            <v xml:space="preserve">BCTG </v>
          </cell>
        </row>
        <row r="257">
          <cell r="B257" t="str">
            <v xml:space="preserve">BMFL </v>
          </cell>
          <cell r="D257" t="str">
            <v>D</v>
          </cell>
          <cell r="E257" t="str">
            <v>0UJB5</v>
          </cell>
          <cell r="F257" t="str">
            <v>MIL-001-197</v>
          </cell>
          <cell r="L257" t="str">
            <v>WASHER,FLAT</v>
          </cell>
          <cell r="R257" t="str">
            <v>5310</v>
          </cell>
          <cell r="S257" t="str">
            <v>015738816</v>
          </cell>
          <cell r="V257" t="str">
            <v>0000000113</v>
          </cell>
          <cell r="AJ257" t="str">
            <v xml:space="preserve">BCTG </v>
          </cell>
        </row>
        <row r="258">
          <cell r="B258" t="str">
            <v xml:space="preserve">BMMG </v>
          </cell>
          <cell r="D258" t="str">
            <v>D</v>
          </cell>
          <cell r="E258" t="str">
            <v>39428</v>
          </cell>
          <cell r="F258" t="str">
            <v>91102A770</v>
          </cell>
          <cell r="L258" t="str">
            <v>WASHER,LOCK</v>
          </cell>
          <cell r="R258" t="str">
            <v>5310</v>
          </cell>
          <cell r="S258" t="str">
            <v>015335500</v>
          </cell>
          <cell r="V258" t="str">
            <v>0000000012</v>
          </cell>
          <cell r="AJ258" t="str">
            <v xml:space="preserve">BCTG </v>
          </cell>
        </row>
        <row r="259">
          <cell r="B259" t="str">
            <v xml:space="preserve">BMTC </v>
          </cell>
          <cell r="D259" t="str">
            <v>D</v>
          </cell>
          <cell r="E259" t="str">
            <v>0Y3H3</v>
          </cell>
          <cell r="F259" t="str">
            <v>0169238</v>
          </cell>
          <cell r="L259" t="str">
            <v>NUT,PLAIN,HEXAGON</v>
          </cell>
          <cell r="R259" t="str">
            <v>5310</v>
          </cell>
          <cell r="S259" t="str">
            <v>016005305</v>
          </cell>
          <cell r="V259" t="str">
            <v>0000000089</v>
          </cell>
          <cell r="AJ259" t="str">
            <v xml:space="preserve">BCTG </v>
          </cell>
        </row>
        <row r="260">
          <cell r="B260" t="str">
            <v xml:space="preserve">BMY8 </v>
          </cell>
          <cell r="D260" t="str">
            <v>D</v>
          </cell>
          <cell r="E260" t="str">
            <v>0UJB5</v>
          </cell>
          <cell r="F260" t="str">
            <v>MIL-001-1319</v>
          </cell>
          <cell r="L260" t="str">
            <v>CABLE ASSEMBLY,SPEC</v>
          </cell>
          <cell r="R260" t="str">
            <v/>
          </cell>
          <cell r="S260" t="str">
            <v/>
          </cell>
          <cell r="V260" t="str">
            <v>0000001939</v>
          </cell>
          <cell r="AJ260" t="str">
            <v xml:space="preserve">BCTG </v>
          </cell>
        </row>
        <row r="261">
          <cell r="B261" t="str">
            <v xml:space="preserve">BM44 </v>
          </cell>
          <cell r="D261" t="str">
            <v>E</v>
          </cell>
          <cell r="E261" t="str">
            <v>0UJB5</v>
          </cell>
          <cell r="F261" t="str">
            <v>MIL-001-1486</v>
          </cell>
          <cell r="L261" t="str">
            <v>CABLE,POWER,ELECTRI</v>
          </cell>
          <cell r="R261" t="str">
            <v/>
          </cell>
          <cell r="S261" t="str">
            <v/>
          </cell>
          <cell r="V261" t="str">
            <v>0000000500</v>
          </cell>
          <cell r="AJ261" t="str">
            <v xml:space="preserve">BMY8 </v>
          </cell>
        </row>
        <row r="262">
          <cell r="B262" t="str">
            <v xml:space="preserve">BNA0 </v>
          </cell>
          <cell r="D262" t="str">
            <v>E</v>
          </cell>
          <cell r="E262" t="str">
            <v>61526</v>
          </cell>
          <cell r="F262" t="str">
            <v>BS8141-0/PG9</v>
          </cell>
          <cell r="L262" t="str">
            <v>CONNECTOR,PLUG,ELEC</v>
          </cell>
          <cell r="R262" t="str">
            <v/>
          </cell>
          <cell r="S262" t="str">
            <v/>
          </cell>
          <cell r="V262" t="str">
            <v>0000001939</v>
          </cell>
          <cell r="AJ262" t="str">
            <v xml:space="preserve">BMY8 </v>
          </cell>
        </row>
        <row r="263">
          <cell r="B263" t="str">
            <v xml:space="preserve">BNGW </v>
          </cell>
          <cell r="D263" t="str">
            <v>E</v>
          </cell>
          <cell r="E263" t="str">
            <v>11139</v>
          </cell>
          <cell r="F263" t="str">
            <v>DT06-2S</v>
          </cell>
          <cell r="L263" t="str">
            <v>CONNECTOR BODY,PLUG</v>
          </cell>
          <cell r="R263" t="str">
            <v>5935</v>
          </cell>
          <cell r="S263" t="str">
            <v>014475814</v>
          </cell>
          <cell r="V263" t="str">
            <v>0000000073</v>
          </cell>
          <cell r="AJ263" t="str">
            <v xml:space="preserve">BMY8 </v>
          </cell>
        </row>
        <row r="264">
          <cell r="B264" t="str">
            <v xml:space="preserve">BNNS </v>
          </cell>
          <cell r="D264" t="str">
            <v>E</v>
          </cell>
          <cell r="E264" t="str">
            <v>11139</v>
          </cell>
          <cell r="F264" t="str">
            <v>W2S-P012</v>
          </cell>
          <cell r="L264" t="str">
            <v>RETAINER,ELECTRICAL</v>
          </cell>
          <cell r="R264" t="str">
            <v>5935</v>
          </cell>
          <cell r="S264" t="str">
            <v>014800358</v>
          </cell>
          <cell r="V264" t="str">
            <v>0000000008</v>
          </cell>
          <cell r="AJ264" t="str">
            <v xml:space="preserve">BMY8 </v>
          </cell>
        </row>
        <row r="265">
          <cell r="B265" t="str">
            <v xml:space="preserve">BNUN </v>
          </cell>
          <cell r="D265" t="str">
            <v>E</v>
          </cell>
          <cell r="E265" t="str">
            <v>11083</v>
          </cell>
          <cell r="F265" t="str">
            <v>8T8730</v>
          </cell>
          <cell r="L265" t="str">
            <v>CONNECTOR,PLUG,ELEC</v>
          </cell>
          <cell r="R265" t="str">
            <v>5935</v>
          </cell>
          <cell r="S265" t="str">
            <v>014290888</v>
          </cell>
          <cell r="V265" t="str">
            <v>0000000125</v>
          </cell>
          <cell r="AJ265" t="str">
            <v xml:space="preserve">BMY8 </v>
          </cell>
        </row>
        <row r="266">
          <cell r="B266" t="str">
            <v xml:space="preserve">BN0J </v>
          </cell>
          <cell r="D266" t="str">
            <v>E</v>
          </cell>
          <cell r="E266" t="str">
            <v>0UJB5</v>
          </cell>
          <cell r="F266" t="str">
            <v>MIL-001-952</v>
          </cell>
          <cell r="L266" t="str">
            <v>PROTECTOR,ELECTRICA</v>
          </cell>
          <cell r="R266" t="str">
            <v/>
          </cell>
          <cell r="S266" t="str">
            <v/>
          </cell>
          <cell r="V266" t="str">
            <v>0000000150</v>
          </cell>
          <cell r="AJ266" t="str">
            <v xml:space="preserve">BMY8 </v>
          </cell>
        </row>
        <row r="267">
          <cell r="B267" t="str">
            <v xml:space="preserve">BN6E </v>
          </cell>
          <cell r="D267" t="str">
            <v>C</v>
          </cell>
          <cell r="E267" t="str">
            <v>0UJB5</v>
          </cell>
          <cell r="F267" t="str">
            <v>MIL-001-730</v>
          </cell>
          <cell r="L267" t="str">
            <v>RAKE,ROCK AND ROOT,</v>
          </cell>
          <cell r="R267" t="str">
            <v>3830</v>
          </cell>
          <cell r="S267" t="str">
            <v>016180157</v>
          </cell>
          <cell r="V267" t="str">
            <v>0000724523</v>
          </cell>
          <cell r="AJ267" t="str">
            <v xml:space="preserve">AAF6 </v>
          </cell>
        </row>
        <row r="268">
          <cell r="B268" t="str">
            <v xml:space="preserve">BPCA </v>
          </cell>
          <cell r="D268" t="str">
            <v>D</v>
          </cell>
          <cell r="E268" t="str">
            <v>0UJB5</v>
          </cell>
          <cell r="F268" t="str">
            <v>MIL-001-726</v>
          </cell>
          <cell r="L268" t="str">
            <v>RAKE</v>
          </cell>
          <cell r="R268" t="str">
            <v/>
          </cell>
          <cell r="S268" t="str">
            <v/>
          </cell>
          <cell r="V268" t="str">
            <v>0000074018</v>
          </cell>
          <cell r="AJ268" t="str">
            <v xml:space="preserve">BN6E </v>
          </cell>
        </row>
        <row r="269">
          <cell r="B269" t="str">
            <v xml:space="preserve">BPH6 </v>
          </cell>
          <cell r="D269" t="str">
            <v>D</v>
          </cell>
          <cell r="E269" t="str">
            <v>0UJB5</v>
          </cell>
          <cell r="F269" t="str">
            <v>MIL-001-761</v>
          </cell>
          <cell r="L269" t="str">
            <v>SCREW,CAP,HEXAGON H</v>
          </cell>
          <cell r="R269" t="str">
            <v>5305</v>
          </cell>
          <cell r="S269" t="str">
            <v>016005886</v>
          </cell>
          <cell r="V269" t="str">
            <v>0000000164</v>
          </cell>
          <cell r="AJ269" t="str">
            <v xml:space="preserve">BN6E </v>
          </cell>
        </row>
        <row r="270">
          <cell r="B270" t="str">
            <v xml:space="preserve">BPP2 </v>
          </cell>
          <cell r="D270" t="str">
            <v>D</v>
          </cell>
          <cell r="E270" t="str">
            <v>0UJB5</v>
          </cell>
          <cell r="F270" t="str">
            <v>MIL-001-762</v>
          </cell>
          <cell r="L270" t="str">
            <v>SCREW,CAP,HEXAGON H</v>
          </cell>
          <cell r="R270" t="str">
            <v>5305</v>
          </cell>
          <cell r="S270" t="str">
            <v>016005871</v>
          </cell>
          <cell r="V270" t="str">
            <v>0000000275</v>
          </cell>
          <cell r="AJ270" t="str">
            <v xml:space="preserve">BN6E </v>
          </cell>
        </row>
        <row r="271">
          <cell r="B271" t="str">
            <v xml:space="preserve">BPVY </v>
          </cell>
          <cell r="D271" t="str">
            <v>D</v>
          </cell>
          <cell r="E271" t="str">
            <v>0UJB5</v>
          </cell>
          <cell r="F271" t="str">
            <v>MIL-001-197</v>
          </cell>
          <cell r="L271" t="str">
            <v>WASHER,FLAT</v>
          </cell>
          <cell r="R271" t="str">
            <v>5310</v>
          </cell>
          <cell r="S271" t="str">
            <v>015738816</v>
          </cell>
          <cell r="V271" t="str">
            <v>0000000113</v>
          </cell>
          <cell r="AJ271" t="str">
            <v xml:space="preserve">BN6E </v>
          </cell>
        </row>
        <row r="272">
          <cell r="B272" t="str">
            <v xml:space="preserve">BP1U </v>
          </cell>
          <cell r="D272" t="str">
            <v>D</v>
          </cell>
          <cell r="E272" t="str">
            <v>39428</v>
          </cell>
          <cell r="F272" t="str">
            <v>91102A770</v>
          </cell>
          <cell r="L272" t="str">
            <v>WASHER,LOCK</v>
          </cell>
          <cell r="R272" t="str">
            <v>5310</v>
          </cell>
          <cell r="S272" t="str">
            <v>015335500</v>
          </cell>
          <cell r="V272" t="str">
            <v>0000000012</v>
          </cell>
          <cell r="AJ272" t="str">
            <v xml:space="preserve">BN6E </v>
          </cell>
        </row>
        <row r="273">
          <cell r="B273" t="str">
            <v xml:space="preserve">BP7Q </v>
          </cell>
          <cell r="D273" t="str">
            <v>D</v>
          </cell>
          <cell r="E273" t="str">
            <v>0Y3H3</v>
          </cell>
          <cell r="F273" t="str">
            <v>0169238</v>
          </cell>
          <cell r="L273" t="str">
            <v>NUT,PLAIN,HEXAGON</v>
          </cell>
          <cell r="R273" t="str">
            <v>5310</v>
          </cell>
          <cell r="S273" t="str">
            <v>016005305</v>
          </cell>
          <cell r="V273" t="str">
            <v>0000000089</v>
          </cell>
          <cell r="AJ273" t="str">
            <v xml:space="preserve">BN6E </v>
          </cell>
        </row>
        <row r="274">
          <cell r="B274" t="str">
            <v xml:space="preserve">BQDL </v>
          </cell>
          <cell r="D274" t="str">
            <v>D</v>
          </cell>
          <cell r="E274" t="str">
            <v>0UJB5</v>
          </cell>
          <cell r="F274" t="str">
            <v>MIL-001-729</v>
          </cell>
          <cell r="L274" t="str">
            <v>RAKE,ROCK AND ROOT,</v>
          </cell>
          <cell r="R274" t="str">
            <v>3830</v>
          </cell>
          <cell r="S274" t="str">
            <v>016180156</v>
          </cell>
          <cell r="V274" t="str">
            <v>0000446807</v>
          </cell>
          <cell r="AJ274" t="str">
            <v xml:space="preserve">BN6E </v>
          </cell>
        </row>
        <row r="275">
          <cell r="B275" t="str">
            <v xml:space="preserve">BQKG </v>
          </cell>
          <cell r="D275" t="str">
            <v>E</v>
          </cell>
          <cell r="E275" t="str">
            <v>0UJB5</v>
          </cell>
          <cell r="F275" t="str">
            <v>MIL-001-003</v>
          </cell>
          <cell r="L275" t="str">
            <v>PLATE,MOUNTING</v>
          </cell>
          <cell r="R275" t="str">
            <v>5340</v>
          </cell>
          <cell r="S275" t="str">
            <v>015662627</v>
          </cell>
          <cell r="V275" t="str">
            <v>0000038601</v>
          </cell>
          <cell r="AJ275" t="str">
            <v xml:space="preserve">BQDL </v>
          </cell>
        </row>
        <row r="276">
          <cell r="B276" t="str">
            <v xml:space="preserve">BQRC </v>
          </cell>
          <cell r="D276" t="str">
            <v>E</v>
          </cell>
          <cell r="E276" t="str">
            <v>0UJB5</v>
          </cell>
          <cell r="F276" t="str">
            <v>MIL-001-004</v>
          </cell>
          <cell r="L276" t="str">
            <v>PLATE,MOUNTING</v>
          </cell>
          <cell r="R276" t="str">
            <v>5340</v>
          </cell>
          <cell r="S276" t="str">
            <v>015662449</v>
          </cell>
          <cell r="V276" t="str">
            <v>0000014235</v>
          </cell>
          <cell r="AJ276" t="str">
            <v xml:space="preserve">BQDL </v>
          </cell>
        </row>
        <row r="277">
          <cell r="B277" t="str">
            <v xml:space="preserve">BQW8 </v>
          </cell>
          <cell r="D277" t="str">
            <v>E</v>
          </cell>
          <cell r="E277" t="str">
            <v>0UJB5</v>
          </cell>
          <cell r="F277" t="str">
            <v>MIL-001-007</v>
          </cell>
          <cell r="L277" t="str">
            <v>SPACER,PLATE</v>
          </cell>
          <cell r="R277" t="str">
            <v>5365</v>
          </cell>
          <cell r="S277" t="str">
            <v>015660707</v>
          </cell>
          <cell r="V277" t="str">
            <v>0000005440</v>
          </cell>
          <cell r="AJ277" t="str">
            <v xml:space="preserve">BQDL </v>
          </cell>
        </row>
        <row r="278">
          <cell r="B278" t="str">
            <v xml:space="preserve">BQ24 </v>
          </cell>
          <cell r="D278" t="str">
            <v>E</v>
          </cell>
          <cell r="E278" t="str">
            <v>0UJB5</v>
          </cell>
          <cell r="F278" t="str">
            <v>MIL-001-727</v>
          </cell>
          <cell r="L278" t="str">
            <v>RAKE</v>
          </cell>
          <cell r="R278" t="str">
            <v/>
          </cell>
          <cell r="S278" t="str">
            <v/>
          </cell>
          <cell r="V278" t="str">
            <v>0000250675</v>
          </cell>
          <cell r="AJ278" t="str">
            <v xml:space="preserve">BQDL </v>
          </cell>
        </row>
        <row r="279">
          <cell r="B279" t="str">
            <v xml:space="preserve">BQ80 </v>
          </cell>
          <cell r="D279" t="str">
            <v>E</v>
          </cell>
          <cell r="E279" t="str">
            <v>0Y3H3</v>
          </cell>
          <cell r="F279" t="str">
            <v>14228</v>
          </cell>
          <cell r="L279" t="str">
            <v>SCREW,CAP,HEXAGON H</v>
          </cell>
          <cell r="R279" t="str">
            <v>5305</v>
          </cell>
          <cell r="S279" t="str">
            <v>016005320</v>
          </cell>
          <cell r="V279" t="str">
            <v>0000000532</v>
          </cell>
          <cell r="AJ279" t="str">
            <v xml:space="preserve">BQDL </v>
          </cell>
        </row>
        <row r="280">
          <cell r="B280" t="str">
            <v xml:space="preserve">BREW </v>
          </cell>
          <cell r="D280" t="str">
            <v>E</v>
          </cell>
          <cell r="E280" t="str">
            <v>39428</v>
          </cell>
          <cell r="F280" t="str">
            <v>90126A033</v>
          </cell>
          <cell r="L280" t="str">
            <v>WASHER,FLAT</v>
          </cell>
          <cell r="R280" t="str">
            <v>5310</v>
          </cell>
          <cell r="S280" t="str">
            <v>015088932</v>
          </cell>
          <cell r="V280" t="str">
            <v>0000000006</v>
          </cell>
          <cell r="AJ280" t="str">
            <v xml:space="preserve">BQDL </v>
          </cell>
        </row>
        <row r="281">
          <cell r="B281" t="str">
            <v xml:space="preserve">BRLS </v>
          </cell>
          <cell r="D281" t="str">
            <v>E</v>
          </cell>
          <cell r="E281" t="str">
            <v>39428</v>
          </cell>
          <cell r="F281" t="str">
            <v>91102A770</v>
          </cell>
          <cell r="L281" t="str">
            <v>WASHER,LOCK</v>
          </cell>
          <cell r="R281" t="str">
            <v>5310</v>
          </cell>
          <cell r="S281" t="str">
            <v>015335500</v>
          </cell>
          <cell r="V281" t="str">
            <v>0000000012</v>
          </cell>
          <cell r="AJ281" t="str">
            <v xml:space="preserve">BQDL </v>
          </cell>
        </row>
        <row r="282">
          <cell r="B282" t="str">
            <v xml:space="preserve">BRSN </v>
          </cell>
          <cell r="D282" t="str">
            <v>E</v>
          </cell>
          <cell r="E282" t="str">
            <v>39428</v>
          </cell>
          <cell r="F282" t="str">
            <v>91286A344</v>
          </cell>
          <cell r="L282" t="str">
            <v>BOLT,MACHINE</v>
          </cell>
          <cell r="R282" t="str">
            <v>5306</v>
          </cell>
          <cell r="S282" t="str">
            <v>015192541</v>
          </cell>
          <cell r="V282" t="str">
            <v>0000000228</v>
          </cell>
          <cell r="AJ282" t="str">
            <v xml:space="preserve">BQDL </v>
          </cell>
        </row>
        <row r="283">
          <cell r="B283" t="str">
            <v xml:space="preserve">BRYJ </v>
          </cell>
          <cell r="D283" t="str">
            <v>E</v>
          </cell>
          <cell r="E283" t="str">
            <v>0Y3H3</v>
          </cell>
          <cell r="F283" t="str">
            <v>0169238</v>
          </cell>
          <cell r="L283" t="str">
            <v>NUT,PLAIN,HEXAGON</v>
          </cell>
          <cell r="R283" t="str">
            <v>5310</v>
          </cell>
          <cell r="S283" t="str">
            <v>016005305</v>
          </cell>
          <cell r="V283" t="str">
            <v>0000000089</v>
          </cell>
          <cell r="AJ283" t="str">
            <v xml:space="preserve">BQDL </v>
          </cell>
        </row>
        <row r="284">
          <cell r="B284" t="str">
            <v xml:space="preserve">BR4E </v>
          </cell>
          <cell r="D284" t="str">
            <v>E</v>
          </cell>
          <cell r="E284" t="str">
            <v>0UJB5</v>
          </cell>
          <cell r="F284" t="str">
            <v>MIL-001-202</v>
          </cell>
          <cell r="L284" t="str">
            <v>BOLT,SHOULDER</v>
          </cell>
          <cell r="R284" t="str">
            <v>5306</v>
          </cell>
          <cell r="S284" t="str">
            <v>015738820</v>
          </cell>
          <cell r="V284" t="str">
            <v>0000003158</v>
          </cell>
          <cell r="AJ284" t="str">
            <v xml:space="preserve">BQDL </v>
          </cell>
        </row>
        <row r="285">
          <cell r="B285" t="str">
            <v xml:space="preserve">BSAA </v>
          </cell>
          <cell r="D285" t="str">
            <v>E</v>
          </cell>
          <cell r="E285" t="str">
            <v>0UJB5</v>
          </cell>
          <cell r="F285" t="str">
            <v>MIL-001-331</v>
          </cell>
          <cell r="L285" t="str">
            <v>WASHER,FLAT</v>
          </cell>
          <cell r="R285" t="str">
            <v>5310</v>
          </cell>
          <cell r="S285" t="str">
            <v>015738807</v>
          </cell>
          <cell r="V285" t="str">
            <v>0000000121</v>
          </cell>
          <cell r="AJ285" t="str">
            <v xml:space="preserve">BQDL </v>
          </cell>
        </row>
        <row r="286">
          <cell r="B286" t="str">
            <v xml:space="preserve">BSF6 </v>
          </cell>
          <cell r="D286" t="str">
            <v>E</v>
          </cell>
          <cell r="E286" t="str">
            <v>0PVE5</v>
          </cell>
          <cell r="F286" t="str">
            <v>58697</v>
          </cell>
          <cell r="L286" t="str">
            <v>BOLT,SHOULDER</v>
          </cell>
          <cell r="R286" t="str">
            <v>5306</v>
          </cell>
          <cell r="S286" t="str">
            <v>015659334</v>
          </cell>
          <cell r="V286" t="str">
            <v>0000000470</v>
          </cell>
          <cell r="AJ286" t="str">
            <v xml:space="preserve">BQDL </v>
          </cell>
        </row>
        <row r="287">
          <cell r="B287" t="str">
            <v xml:space="preserve">BSM2 </v>
          </cell>
          <cell r="D287" t="str">
            <v>E</v>
          </cell>
          <cell r="E287" t="str">
            <v>0Y3H3</v>
          </cell>
          <cell r="F287" t="str">
            <v>37578</v>
          </cell>
          <cell r="L287" t="str">
            <v>NUT,SELF-LOCKING,HE</v>
          </cell>
          <cell r="R287" t="str">
            <v>5310</v>
          </cell>
          <cell r="S287" t="str">
            <v>016005330</v>
          </cell>
          <cell r="V287" t="str">
            <v>0000000150</v>
          </cell>
          <cell r="AJ287" t="str">
            <v xml:space="preserve">BQDL </v>
          </cell>
        </row>
        <row r="288">
          <cell r="B288" t="str">
            <v xml:space="preserve">BSTY </v>
          </cell>
          <cell r="D288" t="str">
            <v>E</v>
          </cell>
          <cell r="E288" t="str">
            <v>0Y3H3</v>
          </cell>
          <cell r="F288" t="str">
            <v>37577</v>
          </cell>
          <cell r="L288" t="str">
            <v>NUT,SELF-LOCKING,HE</v>
          </cell>
          <cell r="R288" t="str">
            <v>5310</v>
          </cell>
          <cell r="S288" t="str">
            <v>016005331</v>
          </cell>
          <cell r="V288" t="str">
            <v>0000000061</v>
          </cell>
          <cell r="AJ288" t="str">
            <v xml:space="preserve">BQDL </v>
          </cell>
        </row>
        <row r="289">
          <cell r="B289" t="str">
            <v xml:space="preserve">BSZU </v>
          </cell>
          <cell r="D289" t="str">
            <v>E</v>
          </cell>
          <cell r="E289" t="str">
            <v>39428</v>
          </cell>
          <cell r="F289" t="str">
            <v>98180A160</v>
          </cell>
          <cell r="L289" t="str">
            <v>WASHER,FLAT</v>
          </cell>
          <cell r="R289" t="str">
            <v>5310</v>
          </cell>
          <cell r="S289" t="str">
            <v>015661004</v>
          </cell>
          <cell r="V289" t="str">
            <v>0000000086</v>
          </cell>
          <cell r="AJ289" t="str">
            <v xml:space="preserve">BQDL </v>
          </cell>
        </row>
        <row r="290">
          <cell r="B290" t="str">
            <v xml:space="preserve">BS5Q </v>
          </cell>
          <cell r="D290" t="str">
            <v>C</v>
          </cell>
          <cell r="E290" t="str">
            <v>0UJB5</v>
          </cell>
          <cell r="F290" t="str">
            <v>MIL-001-1412</v>
          </cell>
          <cell r="L290" t="str">
            <v>PICK,DIGGING</v>
          </cell>
          <cell r="R290" t="str">
            <v/>
          </cell>
          <cell r="S290" t="str">
            <v/>
          </cell>
          <cell r="V290" t="str">
            <v>0000040227</v>
          </cell>
          <cell r="AJ290" t="str">
            <v xml:space="preserve">AAF6 </v>
          </cell>
        </row>
        <row r="291">
          <cell r="B291" t="str">
            <v xml:space="preserve">BTBL </v>
          </cell>
          <cell r="D291" t="str">
            <v>C</v>
          </cell>
          <cell r="E291" t="str">
            <v>0UJB5</v>
          </cell>
          <cell r="F291" t="str">
            <v>MIL-001-767</v>
          </cell>
          <cell r="L291" t="str">
            <v>SCREW,CAP,HEXAGON H</v>
          </cell>
          <cell r="R291" t="str">
            <v>5305</v>
          </cell>
          <cell r="S291" t="str">
            <v>016005898</v>
          </cell>
          <cell r="V291" t="str">
            <v>0000000275</v>
          </cell>
          <cell r="AJ291" t="str">
            <v xml:space="preserve">AAF6 </v>
          </cell>
        </row>
        <row r="292">
          <cell r="B292" t="str">
            <v xml:space="preserve">BTHG </v>
          </cell>
          <cell r="D292" t="str">
            <v>C</v>
          </cell>
          <cell r="E292" t="str">
            <v>0Y3H3</v>
          </cell>
          <cell r="F292" t="str">
            <v>0169238</v>
          </cell>
          <cell r="L292" t="str">
            <v>NUT,PLAIN,HEXAGON</v>
          </cell>
          <cell r="R292" t="str">
            <v>5310</v>
          </cell>
          <cell r="S292" t="str">
            <v>016005305</v>
          </cell>
          <cell r="V292" t="str">
            <v>0000000089</v>
          </cell>
          <cell r="AJ292" t="str">
            <v xml:space="preserve">AAF6 </v>
          </cell>
        </row>
        <row r="293">
          <cell r="B293" t="str">
            <v xml:space="preserve">BTPC </v>
          </cell>
          <cell r="D293" t="str">
            <v>C</v>
          </cell>
          <cell r="E293" t="str">
            <v>0UJB5</v>
          </cell>
          <cell r="F293" t="str">
            <v>MIL-001-197</v>
          </cell>
          <cell r="L293" t="str">
            <v>WASHER,FLAT</v>
          </cell>
          <cell r="R293" t="str">
            <v>5310</v>
          </cell>
          <cell r="S293" t="str">
            <v>015738816</v>
          </cell>
          <cell r="V293" t="str">
            <v>0000000113</v>
          </cell>
          <cell r="AJ293" t="str">
            <v xml:space="preserve">AAF6 </v>
          </cell>
        </row>
        <row r="294">
          <cell r="B294" t="str">
            <v xml:space="preserve">BTU8 </v>
          </cell>
          <cell r="D294" t="str">
            <v>C</v>
          </cell>
          <cell r="E294" t="str">
            <v>39428</v>
          </cell>
          <cell r="F294" t="str">
            <v>91102A770</v>
          </cell>
          <cell r="L294" t="str">
            <v>WASHER,LOCK</v>
          </cell>
          <cell r="R294" t="str">
            <v>5310</v>
          </cell>
          <cell r="S294" t="str">
            <v>015335500</v>
          </cell>
          <cell r="V294" t="str">
            <v>0000000012</v>
          </cell>
          <cell r="AJ294" t="str">
            <v xml:space="preserve">AAF6 </v>
          </cell>
        </row>
        <row r="295">
          <cell r="B295" t="str">
            <v xml:space="preserve">BT04 </v>
          </cell>
          <cell r="D295" t="str">
            <v>C</v>
          </cell>
          <cell r="E295" t="str">
            <v>19207</v>
          </cell>
          <cell r="F295" t="str">
            <v>12585845</v>
          </cell>
          <cell r="L295" t="str">
            <v xml:space="preserve">SUPPORT,TELEVISION </v>
          </cell>
          <cell r="R295" t="str">
            <v/>
          </cell>
          <cell r="S295" t="str">
            <v/>
          </cell>
          <cell r="V295" t="str">
            <v>0000015000</v>
          </cell>
          <cell r="AJ295" t="str">
            <v xml:space="preserve">AAF6 </v>
          </cell>
        </row>
        <row r="296">
          <cell r="B296" t="str">
            <v xml:space="preserve">BT60 </v>
          </cell>
          <cell r="D296" t="str">
            <v>C</v>
          </cell>
          <cell r="E296" t="str">
            <v>19207</v>
          </cell>
          <cell r="F296" t="str">
            <v>12585846</v>
          </cell>
          <cell r="L296" t="str">
            <v xml:space="preserve">SUPPORT,TELEVISION </v>
          </cell>
          <cell r="R296" t="str">
            <v/>
          </cell>
          <cell r="S296" t="str">
            <v/>
          </cell>
          <cell r="V296" t="str">
            <v>0000012000</v>
          </cell>
          <cell r="AJ296" t="str">
            <v xml:space="preserve">AAF6 </v>
          </cell>
        </row>
        <row r="297">
          <cell r="B297" t="str">
            <v xml:space="preserve">BUCW </v>
          </cell>
          <cell r="D297" t="str">
            <v>C</v>
          </cell>
          <cell r="E297" t="str">
            <v>39428</v>
          </cell>
          <cell r="F297" t="str">
            <v>91286A155</v>
          </cell>
          <cell r="L297" t="str">
            <v>SCREW,CAP,HEXAGON H</v>
          </cell>
          <cell r="R297" t="str">
            <v>5305</v>
          </cell>
          <cell r="S297" t="str">
            <v>014925872</v>
          </cell>
          <cell r="V297" t="str">
            <v>0000000016</v>
          </cell>
          <cell r="AJ297" t="str">
            <v xml:space="preserve">AAF6 </v>
          </cell>
        </row>
        <row r="298">
          <cell r="B298" t="str">
            <v xml:space="preserve">BUJS </v>
          </cell>
          <cell r="D298" t="str">
            <v>C</v>
          </cell>
          <cell r="E298" t="str">
            <v>39428</v>
          </cell>
          <cell r="F298" t="str">
            <v>90126A030</v>
          </cell>
          <cell r="L298" t="str">
            <v>WASHER,FLAT</v>
          </cell>
          <cell r="R298" t="str">
            <v>5310</v>
          </cell>
          <cell r="S298" t="str">
            <v>015296246</v>
          </cell>
          <cell r="V298" t="str">
            <v>0000000003</v>
          </cell>
          <cell r="AJ298" t="str">
            <v xml:space="preserve">AAF6 </v>
          </cell>
        </row>
        <row r="299">
          <cell r="B299" t="str">
            <v xml:space="preserve">BUQN </v>
          </cell>
          <cell r="D299" t="str">
            <v>C</v>
          </cell>
          <cell r="E299" t="str">
            <v>0Y3H3</v>
          </cell>
          <cell r="F299" t="str">
            <v>1133620</v>
          </cell>
          <cell r="L299" t="str">
            <v>WASHER,LOCK</v>
          </cell>
          <cell r="R299" t="str">
            <v>5310</v>
          </cell>
          <cell r="S299" t="str">
            <v>015835810</v>
          </cell>
          <cell r="V299" t="str">
            <v>0000000978</v>
          </cell>
          <cell r="AJ299" t="str">
            <v xml:space="preserve">AAF6 </v>
          </cell>
        </row>
        <row r="300">
          <cell r="B300" t="str">
            <v xml:space="preserve">BUWJ </v>
          </cell>
          <cell r="D300" t="str">
            <v>C</v>
          </cell>
          <cell r="E300" t="str">
            <v>0PVE5</v>
          </cell>
          <cell r="F300" t="str">
            <v>51356</v>
          </cell>
          <cell r="L300" t="str">
            <v>SCREW,CAP,SOCKET HE</v>
          </cell>
          <cell r="R300" t="str">
            <v>5305</v>
          </cell>
          <cell r="S300" t="str">
            <v>015660732</v>
          </cell>
          <cell r="V300" t="str">
            <v>0000000845</v>
          </cell>
          <cell r="AJ300" t="str">
            <v xml:space="preserve">AAF6 </v>
          </cell>
        </row>
        <row r="301">
          <cell r="B301" t="str">
            <v xml:space="preserve">BU2E </v>
          </cell>
          <cell r="D301" t="str">
            <v>C</v>
          </cell>
          <cell r="E301" t="str">
            <v>0UJB5</v>
          </cell>
          <cell r="F301" t="str">
            <v>MIL-001-258</v>
          </cell>
          <cell r="L301" t="str">
            <v>NUT,PLAIN,HEXAGON</v>
          </cell>
          <cell r="R301" t="str">
            <v>5310</v>
          </cell>
          <cell r="S301" t="str">
            <v>015738790</v>
          </cell>
          <cell r="V301" t="str">
            <v>0000000021</v>
          </cell>
          <cell r="AJ301" t="str">
            <v xml:space="preserve">AAF6 </v>
          </cell>
        </row>
        <row r="302">
          <cell r="B302" t="str">
            <v xml:space="preserve">BU8A </v>
          </cell>
          <cell r="D302" t="str">
            <v>C</v>
          </cell>
          <cell r="E302" t="str">
            <v>0UJB5</v>
          </cell>
          <cell r="F302" t="str">
            <v>MIL-001-259</v>
          </cell>
          <cell r="L302" t="str">
            <v>WASHER,FLAT</v>
          </cell>
          <cell r="R302" t="str">
            <v>5310</v>
          </cell>
          <cell r="S302" t="str">
            <v>015738789</v>
          </cell>
          <cell r="V302" t="str">
            <v>0000000023</v>
          </cell>
          <cell r="AJ302" t="str">
            <v xml:space="preserve">AAF6 </v>
          </cell>
        </row>
        <row r="303">
          <cell r="B303" t="str">
            <v xml:space="preserve">BVD6 </v>
          </cell>
          <cell r="D303" t="str">
            <v>C</v>
          </cell>
          <cell r="E303" t="str">
            <v>3A054</v>
          </cell>
          <cell r="F303" t="str">
            <v>91102A750</v>
          </cell>
          <cell r="L303" t="str">
            <v>WASHER,LOCK</v>
          </cell>
          <cell r="R303" t="str">
            <v>5310</v>
          </cell>
          <cell r="S303" t="str">
            <v>016112340</v>
          </cell>
          <cell r="V303" t="str">
            <v>0000000019</v>
          </cell>
          <cell r="AJ303" t="str">
            <v xml:space="preserve">AAF6 </v>
          </cell>
        </row>
        <row r="304">
          <cell r="B304" t="str">
            <v xml:space="preserve">BVK2 </v>
          </cell>
          <cell r="D304" t="str">
            <v>C</v>
          </cell>
          <cell r="E304" t="str">
            <v>0UJB5</v>
          </cell>
          <cell r="F304" t="str">
            <v>MIL-001-1175</v>
          </cell>
          <cell r="L304" t="str">
            <v>LIGHT,UTILITY,VEHIC</v>
          </cell>
          <cell r="R304" t="str">
            <v/>
          </cell>
          <cell r="S304" t="str">
            <v/>
          </cell>
          <cell r="V304" t="str">
            <v>0000025000</v>
          </cell>
          <cell r="AJ304" t="str">
            <v xml:space="preserve">AAF6 </v>
          </cell>
        </row>
        <row r="305">
          <cell r="B305" t="str">
            <v xml:space="preserve">BVRY </v>
          </cell>
          <cell r="D305" t="str">
            <v>D</v>
          </cell>
          <cell r="E305" t="str">
            <v>0Y3H3</v>
          </cell>
          <cell r="F305" t="str">
            <v>0162158</v>
          </cell>
          <cell r="L305" t="str">
            <v>BOLT,SQUARE NECK</v>
          </cell>
          <cell r="R305" t="str">
            <v/>
          </cell>
          <cell r="S305" t="str">
            <v/>
          </cell>
          <cell r="V305" t="str">
            <v>0000000506</v>
          </cell>
          <cell r="AJ305" t="str">
            <v xml:space="preserve">BVK2 </v>
          </cell>
        </row>
        <row r="306">
          <cell r="B306" t="str">
            <v xml:space="preserve">BVXU </v>
          </cell>
          <cell r="D306" t="str">
            <v>D</v>
          </cell>
          <cell r="E306" t="str">
            <v>39428</v>
          </cell>
          <cell r="F306" t="str">
            <v>95610A380</v>
          </cell>
          <cell r="L306" t="str">
            <v>NYLON WASHER</v>
          </cell>
          <cell r="R306" t="str">
            <v/>
          </cell>
          <cell r="S306" t="str">
            <v/>
          </cell>
          <cell r="V306" t="str">
            <v>0000000686</v>
          </cell>
          <cell r="AJ306" t="str">
            <v xml:space="preserve">BVK2 </v>
          </cell>
        </row>
        <row r="307">
          <cell r="B307" t="str">
            <v xml:space="preserve">BV3Q </v>
          </cell>
          <cell r="D307" t="str">
            <v>D</v>
          </cell>
          <cell r="E307" t="str">
            <v>0Y3H3</v>
          </cell>
          <cell r="F307" t="str">
            <v>MW6380000A20000</v>
          </cell>
          <cell r="L307" t="str">
            <v>WASHER,FLAT</v>
          </cell>
          <cell r="R307" t="str">
            <v>5310</v>
          </cell>
          <cell r="S307" t="str">
            <v>016010952</v>
          </cell>
          <cell r="V307" t="str">
            <v>0000000008</v>
          </cell>
          <cell r="AJ307" t="str">
            <v xml:space="preserve">BVK2 </v>
          </cell>
        </row>
        <row r="308">
          <cell r="B308" t="str">
            <v xml:space="preserve">BV9L </v>
          </cell>
          <cell r="D308" t="str">
            <v>D</v>
          </cell>
          <cell r="E308" t="str">
            <v>39428</v>
          </cell>
          <cell r="F308" t="str">
            <v>94205A260</v>
          </cell>
          <cell r="L308" t="str">
            <v>NUT,SELF-LOCKING,HE</v>
          </cell>
          <cell r="R308" t="str">
            <v>5310</v>
          </cell>
          <cell r="S308" t="str">
            <v>016200203</v>
          </cell>
          <cell r="V308" t="str">
            <v>0000000032</v>
          </cell>
          <cell r="AJ308" t="str">
            <v xml:space="preserve">BVK2 </v>
          </cell>
        </row>
        <row r="309">
          <cell r="B309" t="str">
            <v xml:space="preserve">BWFG </v>
          </cell>
          <cell r="D309" t="str">
            <v>D</v>
          </cell>
          <cell r="E309" t="str">
            <v>39428</v>
          </cell>
          <cell r="F309" t="str">
            <v>93635A416</v>
          </cell>
          <cell r="L309" t="str">
            <v>SCREW,CAP,HEXAGON H</v>
          </cell>
          <cell r="R309" t="str">
            <v>5305</v>
          </cell>
          <cell r="S309" t="str">
            <v>015606981</v>
          </cell>
          <cell r="V309" t="str">
            <v>0000000110</v>
          </cell>
          <cell r="AJ309" t="str">
            <v xml:space="preserve">BVK2 </v>
          </cell>
        </row>
        <row r="310">
          <cell r="B310" t="str">
            <v xml:space="preserve">BWMC </v>
          </cell>
          <cell r="D310" t="str">
            <v>D</v>
          </cell>
          <cell r="E310" t="str">
            <v>39428</v>
          </cell>
          <cell r="F310" t="str">
            <v>94205A270</v>
          </cell>
          <cell r="L310" t="str">
            <v>NUT,SELF-LOCKING,HE</v>
          </cell>
          <cell r="R310" t="str">
            <v>5310</v>
          </cell>
          <cell r="S310" t="str">
            <v>015533365</v>
          </cell>
          <cell r="V310" t="str">
            <v>0000000043</v>
          </cell>
          <cell r="AJ310" t="str">
            <v xml:space="preserve">BVK2 </v>
          </cell>
        </row>
        <row r="311">
          <cell r="B311" t="str">
            <v xml:space="preserve">BWS8 </v>
          </cell>
          <cell r="D311" t="str">
            <v>D</v>
          </cell>
          <cell r="E311" t="str">
            <v>52315</v>
          </cell>
          <cell r="F311" t="str">
            <v>12500836</v>
          </cell>
          <cell r="L311" t="str">
            <v>WASHER,FLAT</v>
          </cell>
          <cell r="R311" t="str">
            <v>5310</v>
          </cell>
          <cell r="S311" t="str">
            <v>015088503</v>
          </cell>
          <cell r="V311" t="str">
            <v>0000000030</v>
          </cell>
          <cell r="AJ311" t="str">
            <v xml:space="preserve">BVK2 </v>
          </cell>
        </row>
        <row r="312">
          <cell r="B312" t="str">
            <v xml:space="preserve">BWY4 </v>
          </cell>
          <cell r="D312" t="str">
            <v>D</v>
          </cell>
          <cell r="E312" t="str">
            <v>0UJB5</v>
          </cell>
          <cell r="F312" t="str">
            <v>MIL-001-1524</v>
          </cell>
          <cell r="L312" t="str">
            <v>PAD,SHOCK MOUNT</v>
          </cell>
          <cell r="R312" t="str">
            <v/>
          </cell>
          <cell r="S312" t="str">
            <v/>
          </cell>
          <cell r="V312" t="str">
            <v>0000000030</v>
          </cell>
          <cell r="AJ312" t="str">
            <v xml:space="preserve">BVK2 </v>
          </cell>
        </row>
        <row r="313">
          <cell r="B313" t="str">
            <v xml:space="preserve">BW40 </v>
          </cell>
          <cell r="D313" t="str">
            <v>D</v>
          </cell>
          <cell r="E313" t="str">
            <v>0UJB5</v>
          </cell>
          <cell r="F313" t="str">
            <v>MIL-001-1525</v>
          </cell>
          <cell r="L313" t="str">
            <v>BRACKET,MOUNTING</v>
          </cell>
          <cell r="R313" t="str">
            <v/>
          </cell>
          <cell r="S313" t="str">
            <v/>
          </cell>
          <cell r="V313" t="str">
            <v>0000000650</v>
          </cell>
          <cell r="AJ313" t="str">
            <v xml:space="preserve">BVK2 </v>
          </cell>
        </row>
        <row r="314">
          <cell r="B314" t="str">
            <v xml:space="preserve">BW64 </v>
          </cell>
          <cell r="D314" t="str">
            <v>D</v>
          </cell>
          <cell r="E314" t="str">
            <v>0UJB5</v>
          </cell>
          <cell r="F314" t="str">
            <v>MIL-001-1176</v>
          </cell>
          <cell r="L314" t="str">
            <v>SEARCHLIGHT</v>
          </cell>
          <cell r="R314" t="str">
            <v/>
          </cell>
          <cell r="S314" t="str">
            <v/>
          </cell>
          <cell r="V314" t="str">
            <v>0000022500</v>
          </cell>
          <cell r="AJ314" t="str">
            <v xml:space="preserve">BVK2 </v>
          </cell>
        </row>
        <row r="315">
          <cell r="B315" t="str">
            <v xml:space="preserve">BXAW </v>
          </cell>
          <cell r="D315" t="str">
            <v>C</v>
          </cell>
          <cell r="E315" t="str">
            <v>0UJB5</v>
          </cell>
          <cell r="F315" t="str">
            <v>MIL-001-1185</v>
          </cell>
          <cell r="L315" t="str">
            <v>PUMP UNIT,HYDRAULIC</v>
          </cell>
          <cell r="R315" t="str">
            <v/>
          </cell>
          <cell r="S315" t="str">
            <v/>
          </cell>
          <cell r="V315" t="str">
            <v>0000462510</v>
          </cell>
          <cell r="AJ315" t="str">
            <v xml:space="preserve">AAF6 </v>
          </cell>
        </row>
        <row r="316">
          <cell r="B316" t="str">
            <v xml:space="preserve">BXGS </v>
          </cell>
          <cell r="D316" t="str">
            <v>D</v>
          </cell>
          <cell r="E316" t="str">
            <v>0UJB5</v>
          </cell>
          <cell r="F316" t="str">
            <v>MIL-001-1190</v>
          </cell>
          <cell r="L316" t="str">
            <v>PUMP UNIT,HYDRAULIC</v>
          </cell>
          <cell r="R316" t="str">
            <v/>
          </cell>
          <cell r="S316" t="str">
            <v/>
          </cell>
          <cell r="V316" t="str">
            <v>0000290000</v>
          </cell>
          <cell r="AJ316" t="str">
            <v xml:space="preserve">BXAW </v>
          </cell>
        </row>
        <row r="317">
          <cell r="B317" t="str">
            <v xml:space="preserve">BXNN </v>
          </cell>
          <cell r="D317" t="str">
            <v>E</v>
          </cell>
          <cell r="E317" t="str">
            <v>0UJB5</v>
          </cell>
          <cell r="F317" t="str">
            <v>MIL-001-841</v>
          </cell>
          <cell r="L317" t="str">
            <v>PUMP UNIT,HYDRAULIC</v>
          </cell>
          <cell r="R317" t="str">
            <v/>
          </cell>
          <cell r="S317" t="str">
            <v/>
          </cell>
          <cell r="V317" t="str">
            <v>0000235800</v>
          </cell>
          <cell r="AJ317" t="str">
            <v xml:space="preserve">BXGS </v>
          </cell>
        </row>
        <row r="318">
          <cell r="B318" t="str">
            <v xml:space="preserve">BXUJ </v>
          </cell>
          <cell r="D318" t="str">
            <v>F</v>
          </cell>
          <cell r="E318" t="str">
            <v>0UJB5</v>
          </cell>
          <cell r="F318" t="str">
            <v>MIL-001-512</v>
          </cell>
          <cell r="L318" t="str">
            <v>MOTOR,HYDRAULIC</v>
          </cell>
          <cell r="R318" t="str">
            <v>4320</v>
          </cell>
          <cell r="S318" t="str">
            <v>015770446</v>
          </cell>
          <cell r="V318" t="str">
            <v>0000227400</v>
          </cell>
          <cell r="AJ318" t="str">
            <v xml:space="preserve">BXNN </v>
          </cell>
        </row>
        <row r="319">
          <cell r="B319" t="str">
            <v xml:space="preserve">BX0E </v>
          </cell>
          <cell r="D319" t="str">
            <v>F</v>
          </cell>
          <cell r="E319" t="str">
            <v>0UJB5</v>
          </cell>
          <cell r="F319" t="str">
            <v>MIL-001-515</v>
          </cell>
          <cell r="L319" t="str">
            <v>SOLENOID ASSEMBLY</v>
          </cell>
          <cell r="R319" t="str">
            <v>5945</v>
          </cell>
          <cell r="S319" t="str">
            <v>015645682</v>
          </cell>
          <cell r="V319" t="str">
            <v>0000049929</v>
          </cell>
          <cell r="AJ319" t="str">
            <v xml:space="preserve">BXNN </v>
          </cell>
        </row>
        <row r="320">
          <cell r="B320" t="str">
            <v xml:space="preserve">BX6A </v>
          </cell>
          <cell r="D320" t="str">
            <v>F</v>
          </cell>
          <cell r="E320" t="str">
            <v>0UJB5</v>
          </cell>
          <cell r="F320" t="str">
            <v>MIL-001-580</v>
          </cell>
          <cell r="L320" t="str">
            <v>SCREW,CAP,HEXAGON H</v>
          </cell>
          <cell r="R320" t="str">
            <v>5305</v>
          </cell>
          <cell r="S320" t="str">
            <v>015595391</v>
          </cell>
          <cell r="V320" t="str">
            <v>0000000013</v>
          </cell>
          <cell r="AJ320" t="str">
            <v xml:space="preserve">BXNN </v>
          </cell>
        </row>
        <row r="321">
          <cell r="B321" t="str">
            <v xml:space="preserve">BYB6 </v>
          </cell>
          <cell r="D321" t="str">
            <v>F</v>
          </cell>
          <cell r="E321" t="str">
            <v>0Y3H3</v>
          </cell>
          <cell r="F321" t="str">
            <v>12759-90077</v>
          </cell>
          <cell r="L321" t="str">
            <v xml:space="preserve">WASHER,FLAT </v>
          </cell>
          <cell r="R321" t="str">
            <v>5310</v>
          </cell>
          <cell r="S321" t="str">
            <v>013978096</v>
          </cell>
          <cell r="V321" t="str">
            <v>0000000002</v>
          </cell>
          <cell r="AJ321" t="str">
            <v xml:space="preserve">BXNN </v>
          </cell>
        </row>
        <row r="322">
          <cell r="B322" t="str">
            <v xml:space="preserve">BYH2 </v>
          </cell>
          <cell r="D322" t="str">
            <v>F</v>
          </cell>
          <cell r="E322" t="str">
            <v>19397</v>
          </cell>
          <cell r="F322" t="str">
            <v>L140127-06</v>
          </cell>
          <cell r="L322" t="str">
            <v>WASHER,LOCK</v>
          </cell>
          <cell r="R322" t="str">
            <v>5310</v>
          </cell>
          <cell r="S322" t="str">
            <v>015336196</v>
          </cell>
          <cell r="V322" t="str">
            <v>0000000004</v>
          </cell>
          <cell r="AJ322" t="str">
            <v xml:space="preserve">BXNN </v>
          </cell>
        </row>
        <row r="323">
          <cell r="B323" t="str">
            <v xml:space="preserve">BYPY </v>
          </cell>
          <cell r="D323" t="str">
            <v>F</v>
          </cell>
          <cell r="E323" t="str">
            <v>0Y3H3</v>
          </cell>
          <cell r="F323" t="str">
            <v>MIL-001-593</v>
          </cell>
          <cell r="L323" t="str">
            <v>SCREW,CAP,SOCKET HE</v>
          </cell>
          <cell r="R323" t="str">
            <v>5305</v>
          </cell>
          <cell r="S323" t="str">
            <v>015665245</v>
          </cell>
          <cell r="V323" t="str">
            <v>0000000010</v>
          </cell>
          <cell r="AJ323" t="str">
            <v xml:space="preserve">BXNN </v>
          </cell>
        </row>
        <row r="324">
          <cell r="B324" t="str">
            <v xml:space="preserve">BYVU </v>
          </cell>
          <cell r="D324" t="str">
            <v>F</v>
          </cell>
          <cell r="E324" t="str">
            <v>0UJB5</v>
          </cell>
          <cell r="F324" t="str">
            <v>MIL-001-594</v>
          </cell>
          <cell r="L324" t="str">
            <v>WASHER,FLAT</v>
          </cell>
          <cell r="R324" t="str">
            <v>5310</v>
          </cell>
          <cell r="S324" t="str">
            <v>014607243</v>
          </cell>
          <cell r="V324" t="str">
            <v>0000000009</v>
          </cell>
          <cell r="AJ324" t="str">
            <v xml:space="preserve">BXNN </v>
          </cell>
        </row>
        <row r="325">
          <cell r="B325" t="str">
            <v xml:space="preserve">BY1Q </v>
          </cell>
          <cell r="D325" t="str">
            <v>F</v>
          </cell>
          <cell r="E325" t="str">
            <v>19397</v>
          </cell>
          <cell r="F325" t="str">
            <v>L140125-05</v>
          </cell>
          <cell r="L325" t="str">
            <v>WASHER,FLAT</v>
          </cell>
          <cell r="R325" t="str">
            <v>5310</v>
          </cell>
          <cell r="S325" t="str">
            <v>014727792</v>
          </cell>
          <cell r="V325" t="str">
            <v>0000000014</v>
          </cell>
          <cell r="AJ325" t="str">
            <v xml:space="preserve">BXNN </v>
          </cell>
        </row>
        <row r="326">
          <cell r="B326" t="str">
            <v xml:space="preserve">BY7L </v>
          </cell>
          <cell r="D326" t="str">
            <v>F</v>
          </cell>
          <cell r="E326" t="str">
            <v>0UJB5</v>
          </cell>
          <cell r="F326" t="str">
            <v>MIL-001-592</v>
          </cell>
          <cell r="L326" t="str">
            <v xml:space="preserve">BRACKET,ELECTRICAL </v>
          </cell>
          <cell r="R326" t="str">
            <v>5935</v>
          </cell>
          <cell r="S326" t="str">
            <v>015662961</v>
          </cell>
          <cell r="V326" t="str">
            <v>0000001200</v>
          </cell>
          <cell r="AJ326" t="str">
            <v xml:space="preserve">BXNN </v>
          </cell>
        </row>
        <row r="327">
          <cell r="B327" t="str">
            <v xml:space="preserve">BZDG </v>
          </cell>
          <cell r="D327" t="str">
            <v>F</v>
          </cell>
          <cell r="E327" t="str">
            <v>39428</v>
          </cell>
          <cell r="F327" t="str">
            <v>91635A260</v>
          </cell>
          <cell r="L327" t="str">
            <v>WASHER,FLAT</v>
          </cell>
          <cell r="R327" t="str">
            <v>5310</v>
          </cell>
          <cell r="S327" t="str">
            <v>015658031</v>
          </cell>
          <cell r="V327" t="str">
            <v>0000000034</v>
          </cell>
          <cell r="AJ327" t="str">
            <v xml:space="preserve">BXNN </v>
          </cell>
        </row>
        <row r="328">
          <cell r="B328" t="str">
            <v xml:space="preserve">BZKC </v>
          </cell>
          <cell r="D328" t="str">
            <v>F</v>
          </cell>
          <cell r="E328" t="str">
            <v>19397</v>
          </cell>
          <cell r="F328" t="str">
            <v>L140127-08</v>
          </cell>
          <cell r="L328" t="str">
            <v>WASHER,LOCK</v>
          </cell>
          <cell r="R328" t="str">
            <v>5310</v>
          </cell>
          <cell r="S328" t="str">
            <v>015499572</v>
          </cell>
          <cell r="V328" t="str">
            <v>0000000006</v>
          </cell>
          <cell r="AJ328" t="str">
            <v xml:space="preserve">BXNN </v>
          </cell>
        </row>
        <row r="329">
          <cell r="B329" t="str">
            <v xml:space="preserve">BZQ8 </v>
          </cell>
          <cell r="D329" t="str">
            <v>F</v>
          </cell>
          <cell r="E329" t="str">
            <v>0KVE6</v>
          </cell>
          <cell r="F329" t="str">
            <v>91120A180</v>
          </cell>
          <cell r="L329" t="str">
            <v>WASHER,LOCK</v>
          </cell>
          <cell r="R329" t="str">
            <v>5310</v>
          </cell>
          <cell r="S329" t="str">
            <v>015697051</v>
          </cell>
          <cell r="V329" t="str">
            <v>0000000022</v>
          </cell>
          <cell r="AJ329" t="str">
            <v xml:space="preserve">BXNN </v>
          </cell>
        </row>
        <row r="330">
          <cell r="B330" t="str">
            <v xml:space="preserve">BZW4 </v>
          </cell>
          <cell r="D330" t="str">
            <v>F</v>
          </cell>
          <cell r="E330" t="str">
            <v>72741</v>
          </cell>
          <cell r="F330" t="str">
            <v>430-008</v>
          </cell>
          <cell r="L330" t="str">
            <v>NUT,PLAIN,HEXAGON</v>
          </cell>
          <cell r="R330" t="str">
            <v>5310</v>
          </cell>
          <cell r="S330" t="str">
            <v>011374829</v>
          </cell>
          <cell r="V330" t="str">
            <v>0000000006</v>
          </cell>
          <cell r="AJ330" t="str">
            <v xml:space="preserve">BXNN </v>
          </cell>
        </row>
        <row r="331">
          <cell r="B331" t="str">
            <v xml:space="preserve">BZ20 </v>
          </cell>
          <cell r="D331" t="str">
            <v>F</v>
          </cell>
          <cell r="E331" t="str">
            <v>0UJB5</v>
          </cell>
          <cell r="F331" t="str">
            <v>MIL-001-513</v>
          </cell>
          <cell r="L331" t="str">
            <v>PUMP UNIT,HYDRAULIC</v>
          </cell>
          <cell r="R331" t="str">
            <v>4320</v>
          </cell>
          <cell r="S331" t="str">
            <v>015663963</v>
          </cell>
          <cell r="V331" t="str">
            <v>0000083564</v>
          </cell>
          <cell r="AJ331" t="str">
            <v xml:space="preserve">BXNN </v>
          </cell>
        </row>
        <row r="332">
          <cell r="B332" t="str">
            <v xml:space="preserve">BZ8W </v>
          </cell>
          <cell r="D332" t="str">
            <v>G</v>
          </cell>
          <cell r="E332" t="str">
            <v>0UJB5</v>
          </cell>
          <cell r="F332" t="str">
            <v>MIL-001-710</v>
          </cell>
          <cell r="L332" t="str">
            <v xml:space="preserve">TUBE,OIL FEED </v>
          </cell>
          <cell r="R332" t="str">
            <v/>
          </cell>
          <cell r="S332" t="str">
            <v/>
          </cell>
          <cell r="V332" t="str">
            <v>0000002100</v>
          </cell>
          <cell r="AJ332" t="str">
            <v xml:space="preserve">BZ20 </v>
          </cell>
        </row>
        <row r="333">
          <cell r="B333" t="str">
            <v xml:space="preserve">B0ES </v>
          </cell>
          <cell r="D333" t="str">
            <v>G</v>
          </cell>
          <cell r="E333" t="str">
            <v>0UJB5</v>
          </cell>
          <cell r="F333" t="str">
            <v>MIL-001-711</v>
          </cell>
          <cell r="L333" t="str">
            <v>COVER, PUMP</v>
          </cell>
          <cell r="R333" t="str">
            <v/>
          </cell>
          <cell r="S333" t="str">
            <v/>
          </cell>
          <cell r="V333" t="str">
            <v>0000005785</v>
          </cell>
          <cell r="AJ333" t="str">
            <v xml:space="preserve">BZ20 </v>
          </cell>
        </row>
        <row r="334">
          <cell r="B334" t="str">
            <v xml:space="preserve">B0LN </v>
          </cell>
          <cell r="D334" t="str">
            <v>G</v>
          </cell>
          <cell r="E334" t="str">
            <v>0UJB5</v>
          </cell>
          <cell r="F334" t="str">
            <v>MIL-001-712</v>
          </cell>
          <cell r="L334" t="str">
            <v xml:space="preserve">ADAPTER </v>
          </cell>
          <cell r="R334" t="str">
            <v/>
          </cell>
          <cell r="S334" t="str">
            <v/>
          </cell>
          <cell r="V334" t="str">
            <v>0000002300</v>
          </cell>
          <cell r="AJ334" t="str">
            <v xml:space="preserve">BZ20 </v>
          </cell>
        </row>
        <row r="335">
          <cell r="B335" t="str">
            <v xml:space="preserve">B0SJ </v>
          </cell>
          <cell r="D335" t="str">
            <v>G</v>
          </cell>
          <cell r="E335" t="str">
            <v>0UJB5</v>
          </cell>
          <cell r="F335" t="str">
            <v>MIL-001-713</v>
          </cell>
          <cell r="L335" t="str">
            <v>COUPLER</v>
          </cell>
          <cell r="R335" t="str">
            <v/>
          </cell>
          <cell r="S335" t="str">
            <v/>
          </cell>
          <cell r="V335" t="str">
            <v>0000003750</v>
          </cell>
          <cell r="AJ335" t="str">
            <v xml:space="preserve">BZ20 </v>
          </cell>
        </row>
        <row r="336">
          <cell r="B336" t="str">
            <v xml:space="preserve">B0YE </v>
          </cell>
          <cell r="D336" t="str">
            <v>G</v>
          </cell>
          <cell r="E336" t="str">
            <v>0UJB5</v>
          </cell>
          <cell r="F336" t="str">
            <v>MIL-001-697</v>
          </cell>
          <cell r="L336" t="str">
            <v>O-RING SET</v>
          </cell>
          <cell r="R336" t="str">
            <v>5331</v>
          </cell>
          <cell r="S336" t="str">
            <v>015700877</v>
          </cell>
          <cell r="V336" t="str">
            <v>0000004382</v>
          </cell>
          <cell r="AJ336" t="str">
            <v xml:space="preserve">BZ20 </v>
          </cell>
        </row>
        <row r="337">
          <cell r="B337" t="str">
            <v xml:space="preserve">B04A </v>
          </cell>
          <cell r="D337" t="str">
            <v>F</v>
          </cell>
          <cell r="E337" t="str">
            <v>0UJB5</v>
          </cell>
          <cell r="F337" t="str">
            <v>MIL-001-514</v>
          </cell>
          <cell r="L337" t="str">
            <v xml:space="preserve">TANK,OIL,HYDRAULIC </v>
          </cell>
          <cell r="R337" t="str">
            <v>2590</v>
          </cell>
          <cell r="S337" t="str">
            <v>015658872</v>
          </cell>
          <cell r="V337" t="str">
            <v>0000113935</v>
          </cell>
          <cell r="AJ337" t="str">
            <v xml:space="preserve">BXNN </v>
          </cell>
        </row>
        <row r="338">
          <cell r="B338" t="str">
            <v xml:space="preserve">B096 </v>
          </cell>
          <cell r="D338" t="str">
            <v>F</v>
          </cell>
          <cell r="E338" t="str">
            <v>0UJB5</v>
          </cell>
          <cell r="F338" t="str">
            <v>MIL-001-582</v>
          </cell>
          <cell r="L338" t="str">
            <v>SCREW,CAP,SOCKET HE</v>
          </cell>
          <cell r="R338" t="str">
            <v>5305</v>
          </cell>
          <cell r="S338" t="str">
            <v>015660650</v>
          </cell>
          <cell r="V338" t="str">
            <v>0000000009</v>
          </cell>
          <cell r="AJ338" t="str">
            <v xml:space="preserve">BXNN </v>
          </cell>
        </row>
        <row r="339">
          <cell r="B339" t="str">
            <v xml:space="preserve">B1F2 </v>
          </cell>
          <cell r="D339" t="str">
            <v>F</v>
          </cell>
          <cell r="E339" t="str">
            <v>0UJB5</v>
          </cell>
          <cell r="F339" t="str">
            <v>RP201</v>
          </cell>
          <cell r="L339" t="str">
            <v>WASHER,FLAT</v>
          </cell>
          <cell r="R339" t="str">
            <v>5310</v>
          </cell>
          <cell r="S339" t="str">
            <v>015469032</v>
          </cell>
          <cell r="V339" t="str">
            <v>0000000423</v>
          </cell>
          <cell r="AJ339" t="str">
            <v xml:space="preserve">BXNN </v>
          </cell>
        </row>
        <row r="340">
          <cell r="B340" t="str">
            <v xml:space="preserve">B1MY </v>
          </cell>
          <cell r="D340" t="str">
            <v>F</v>
          </cell>
          <cell r="E340" t="str">
            <v>0UJB5</v>
          </cell>
          <cell r="F340" t="str">
            <v>MIL-001-578</v>
          </cell>
          <cell r="L340" t="str">
            <v>GAGE ROD-CAP,LIQUID</v>
          </cell>
          <cell r="R340" t="str">
            <v>6680</v>
          </cell>
          <cell r="S340" t="str">
            <v>015660335</v>
          </cell>
          <cell r="V340" t="str">
            <v>0000011085</v>
          </cell>
          <cell r="AJ340" t="str">
            <v xml:space="preserve">BXNN </v>
          </cell>
        </row>
        <row r="341">
          <cell r="B341" t="str">
            <v xml:space="preserve">B1TU </v>
          </cell>
          <cell r="D341" t="str">
            <v>F</v>
          </cell>
          <cell r="E341" t="str">
            <v>95826</v>
          </cell>
          <cell r="F341" t="str">
            <v>6 WFTX-WLN-S</v>
          </cell>
          <cell r="L341" t="str">
            <v>ADAPTER,STRAIGHT,PI</v>
          </cell>
          <cell r="R341" t="str">
            <v>4730</v>
          </cell>
          <cell r="S341" t="str">
            <v>015704444</v>
          </cell>
          <cell r="V341" t="str">
            <v>0000001566</v>
          </cell>
          <cell r="AJ341" t="str">
            <v xml:space="preserve">BXNN </v>
          </cell>
        </row>
        <row r="342">
          <cell r="B342" t="str">
            <v xml:space="preserve">B1ZQ </v>
          </cell>
          <cell r="D342" t="str">
            <v>F</v>
          </cell>
          <cell r="E342" t="str">
            <v>0UJB5</v>
          </cell>
          <cell r="F342" t="str">
            <v>TA968</v>
          </cell>
          <cell r="L342" t="str">
            <v>COVER,PROTECTIVE,DU</v>
          </cell>
          <cell r="R342" t="str">
            <v>5340</v>
          </cell>
          <cell r="S342" t="str">
            <v>015699499</v>
          </cell>
          <cell r="V342" t="str">
            <v>0000000939</v>
          </cell>
          <cell r="AJ342" t="str">
            <v xml:space="preserve">BXNN </v>
          </cell>
        </row>
        <row r="343">
          <cell r="B343" t="str">
            <v xml:space="preserve">B11Q </v>
          </cell>
          <cell r="D343" t="str">
            <v>F</v>
          </cell>
          <cell r="E343" t="str">
            <v>0UJB5</v>
          </cell>
          <cell r="F343" t="str">
            <v>MIL-001-1071</v>
          </cell>
          <cell r="L343" t="str">
            <v>HOUSING</v>
          </cell>
          <cell r="R343" t="str">
            <v/>
          </cell>
          <cell r="S343" t="str">
            <v/>
          </cell>
          <cell r="V343" t="str">
            <v>0000062500</v>
          </cell>
          <cell r="AJ343" t="str">
            <v xml:space="preserve">BXNN </v>
          </cell>
        </row>
        <row r="344">
          <cell r="B344" t="str">
            <v xml:space="preserve">B15L </v>
          </cell>
          <cell r="D344" t="str">
            <v>F</v>
          </cell>
          <cell r="E344" t="str">
            <v>0UJB5</v>
          </cell>
          <cell r="F344" t="str">
            <v>MIL-001-698</v>
          </cell>
          <cell r="L344" t="str">
            <v>O-RING</v>
          </cell>
          <cell r="R344" t="str">
            <v>5331</v>
          </cell>
          <cell r="S344" t="str">
            <v>016005900</v>
          </cell>
          <cell r="V344" t="str">
            <v>0000000013</v>
          </cell>
          <cell r="AJ344" t="str">
            <v xml:space="preserve">BXNN </v>
          </cell>
        </row>
        <row r="345">
          <cell r="B345" t="str">
            <v xml:space="preserve">B16L </v>
          </cell>
          <cell r="D345" t="str">
            <v>F</v>
          </cell>
          <cell r="E345" t="str">
            <v>0UJB5</v>
          </cell>
          <cell r="F345" t="str">
            <v>MIL-001-1072</v>
          </cell>
          <cell r="L345" t="str">
            <v>BRACKET,MOUNTING</v>
          </cell>
          <cell r="R345" t="str">
            <v/>
          </cell>
          <cell r="S345" t="str">
            <v/>
          </cell>
          <cell r="V345" t="str">
            <v>0000003750</v>
          </cell>
          <cell r="AJ345" t="str">
            <v xml:space="preserve">BXNN </v>
          </cell>
        </row>
        <row r="346">
          <cell r="B346" t="str">
            <v xml:space="preserve">B2BG </v>
          </cell>
          <cell r="D346" t="str">
            <v>F</v>
          </cell>
          <cell r="E346" t="str">
            <v>0UJB5</v>
          </cell>
          <cell r="F346" t="str">
            <v>MIL-001-699</v>
          </cell>
          <cell r="L346" t="str">
            <v>PLUG,MACHINE THREAD</v>
          </cell>
          <cell r="R346" t="str">
            <v>5365</v>
          </cell>
          <cell r="S346" t="str">
            <v>015705873</v>
          </cell>
          <cell r="V346" t="str">
            <v>0000001422</v>
          </cell>
          <cell r="AJ346" t="str">
            <v xml:space="preserve">BXNN </v>
          </cell>
        </row>
        <row r="347">
          <cell r="B347" t="str">
            <v xml:space="preserve">B2CG </v>
          </cell>
          <cell r="D347" t="str">
            <v>F</v>
          </cell>
          <cell r="E347" t="str">
            <v>0Y3H3</v>
          </cell>
          <cell r="F347" t="str">
            <v>0153975</v>
          </cell>
          <cell r="L347" t="str">
            <v>SCREW,CAP,HEXAGON H</v>
          </cell>
          <cell r="R347" t="str">
            <v>5305</v>
          </cell>
          <cell r="S347" t="str">
            <v>015570547</v>
          </cell>
          <cell r="V347" t="str">
            <v>0000000013</v>
          </cell>
          <cell r="AJ347" t="str">
            <v xml:space="preserve">BXNN </v>
          </cell>
        </row>
        <row r="348">
          <cell r="B348" t="str">
            <v xml:space="preserve">B2HC </v>
          </cell>
          <cell r="D348" t="str">
            <v>F</v>
          </cell>
          <cell r="E348" t="str">
            <v>0UJB5</v>
          </cell>
          <cell r="F348" t="str">
            <v>MIL-001-516</v>
          </cell>
          <cell r="L348" t="str">
            <v>HOSE ASSEMBLY,NONME</v>
          </cell>
          <cell r="R348" t="str">
            <v>4720</v>
          </cell>
          <cell r="S348" t="str">
            <v>015658862</v>
          </cell>
          <cell r="V348" t="str">
            <v>0000005322</v>
          </cell>
          <cell r="AJ348" t="str">
            <v xml:space="preserve">BXNN </v>
          </cell>
        </row>
        <row r="349">
          <cell r="B349" t="str">
            <v xml:space="preserve">B2JC </v>
          </cell>
          <cell r="D349" t="str">
            <v>F</v>
          </cell>
          <cell r="E349" t="str">
            <v>0Y3H3</v>
          </cell>
          <cell r="F349" t="str">
            <v>1140358</v>
          </cell>
          <cell r="L349" t="str">
            <v>WASHER,FLAT</v>
          </cell>
          <cell r="R349" t="str">
            <v>5310</v>
          </cell>
          <cell r="S349" t="str">
            <v>015787473</v>
          </cell>
          <cell r="V349" t="str">
            <v>0000000008</v>
          </cell>
          <cell r="AJ349" t="str">
            <v xml:space="preserve">BXNN </v>
          </cell>
        </row>
        <row r="350">
          <cell r="B350" t="str">
            <v xml:space="preserve">B2N8 </v>
          </cell>
          <cell r="D350" t="str">
            <v>E</v>
          </cell>
          <cell r="E350" t="str">
            <v>71400</v>
          </cell>
          <cell r="F350" t="str">
            <v>185150F</v>
          </cell>
          <cell r="L350" t="str">
            <v>CIRCUIT BREAKER</v>
          </cell>
          <cell r="R350" t="str">
            <v/>
          </cell>
          <cell r="S350" t="str">
            <v/>
          </cell>
          <cell r="V350" t="str">
            <v>0000004900</v>
          </cell>
          <cell r="AJ350" t="str">
            <v xml:space="preserve">BXGS </v>
          </cell>
        </row>
        <row r="351">
          <cell r="B351" t="str">
            <v xml:space="preserve">B2U4 </v>
          </cell>
          <cell r="D351" t="str">
            <v>E</v>
          </cell>
          <cell r="E351" t="str">
            <v>0UJB5</v>
          </cell>
          <cell r="F351" t="str">
            <v>MIL-001-250</v>
          </cell>
          <cell r="L351" t="str">
            <v>BOLT,MACHINE</v>
          </cell>
          <cell r="R351" t="str">
            <v>5306</v>
          </cell>
          <cell r="S351" t="str">
            <v>015742072</v>
          </cell>
          <cell r="V351" t="str">
            <v>0000000022</v>
          </cell>
          <cell r="AJ351" t="str">
            <v xml:space="preserve">BXGS </v>
          </cell>
        </row>
        <row r="352">
          <cell r="B352" t="str">
            <v xml:space="preserve">B200 </v>
          </cell>
          <cell r="D352" t="str">
            <v>E</v>
          </cell>
          <cell r="E352" t="str">
            <v>0UJB5</v>
          </cell>
          <cell r="F352" t="str">
            <v>MIL-001-259</v>
          </cell>
          <cell r="L352" t="str">
            <v>WASHER,FLAT</v>
          </cell>
          <cell r="R352" t="str">
            <v>5310</v>
          </cell>
          <cell r="S352" t="str">
            <v>015738789</v>
          </cell>
          <cell r="V352" t="str">
            <v>0000000023</v>
          </cell>
          <cell r="AJ352" t="str">
            <v xml:space="preserve">BXGS </v>
          </cell>
        </row>
        <row r="353">
          <cell r="B353" t="str">
            <v xml:space="preserve">B26W </v>
          </cell>
          <cell r="D353" t="str">
            <v>E</v>
          </cell>
          <cell r="E353" t="str">
            <v>0Y3H3</v>
          </cell>
          <cell r="F353" t="str">
            <v>37573</v>
          </cell>
          <cell r="L353" t="str">
            <v>NUT,SELF-LOCKING,HE</v>
          </cell>
          <cell r="R353" t="str">
            <v>5310</v>
          </cell>
          <cell r="S353" t="str">
            <v>016005350</v>
          </cell>
          <cell r="V353" t="str">
            <v>0000000014</v>
          </cell>
          <cell r="AJ353" t="str">
            <v xml:space="preserve">BXGS </v>
          </cell>
        </row>
        <row r="354">
          <cell r="B354" t="str">
            <v xml:space="preserve">B3CS </v>
          </cell>
          <cell r="D354" t="str">
            <v>E</v>
          </cell>
          <cell r="E354" t="str">
            <v>0UJB5</v>
          </cell>
          <cell r="F354" t="str">
            <v>MIL-001-587</v>
          </cell>
          <cell r="L354" t="str">
            <v>LEAD,STORAGE BATTER</v>
          </cell>
          <cell r="R354" t="str">
            <v>6150</v>
          </cell>
          <cell r="S354" t="str">
            <v>015659363</v>
          </cell>
          <cell r="V354" t="str">
            <v>0000001657</v>
          </cell>
          <cell r="AJ354" t="str">
            <v xml:space="preserve">BXGS </v>
          </cell>
        </row>
        <row r="355">
          <cell r="B355" t="str">
            <v xml:space="preserve">B3JN </v>
          </cell>
          <cell r="D355" t="str">
            <v>E</v>
          </cell>
          <cell r="E355" t="str">
            <v>0UJB5</v>
          </cell>
          <cell r="F355" t="str">
            <v>MIL-001-251</v>
          </cell>
          <cell r="L355" t="str">
            <v>CABLE ASSEMBLY,SPEC</v>
          </cell>
          <cell r="R355" t="str">
            <v>6150</v>
          </cell>
          <cell r="S355" t="str">
            <v>015661667</v>
          </cell>
          <cell r="V355" t="str">
            <v>0000002430</v>
          </cell>
          <cell r="AJ355" t="str">
            <v xml:space="preserve">BXGS </v>
          </cell>
        </row>
        <row r="356">
          <cell r="B356" t="str">
            <v xml:space="preserve">B3QJ </v>
          </cell>
          <cell r="D356" t="str">
            <v>E</v>
          </cell>
          <cell r="E356" t="str">
            <v>0UJB5</v>
          </cell>
          <cell r="F356" t="str">
            <v>MIL-001-1188</v>
          </cell>
          <cell r="L356" t="str">
            <v>RELAY,ELECTROMAGNET</v>
          </cell>
          <cell r="R356" t="str">
            <v>5945</v>
          </cell>
          <cell r="S356" t="str">
            <v>016005345</v>
          </cell>
          <cell r="V356" t="str">
            <v>0000095230</v>
          </cell>
          <cell r="AJ356" t="str">
            <v xml:space="preserve">BXGS </v>
          </cell>
        </row>
        <row r="357">
          <cell r="B357" t="str">
            <v xml:space="preserve">B3WE </v>
          </cell>
          <cell r="D357" t="str">
            <v>F</v>
          </cell>
          <cell r="E357" t="str">
            <v>0UJB5</v>
          </cell>
          <cell r="F357" t="str">
            <v>MIL-001-355</v>
          </cell>
          <cell r="L357" t="str">
            <v>RELAY</v>
          </cell>
          <cell r="R357" t="str">
            <v/>
          </cell>
          <cell r="S357" t="str">
            <v/>
          </cell>
          <cell r="V357" t="str">
            <v>0000160908</v>
          </cell>
          <cell r="AJ357" t="str">
            <v xml:space="preserve">B3QJ </v>
          </cell>
        </row>
        <row r="358">
          <cell r="B358" t="str">
            <v xml:space="preserve">B32A </v>
          </cell>
          <cell r="D358" t="str">
            <v>F</v>
          </cell>
          <cell r="E358" t="str">
            <v>00779</v>
          </cell>
          <cell r="F358" t="str">
            <v>34163</v>
          </cell>
          <cell r="L358" t="str">
            <v>TERMINAL,LUG</v>
          </cell>
          <cell r="R358" t="str">
            <v>5940</v>
          </cell>
          <cell r="S358" t="str">
            <v>010658787</v>
          </cell>
          <cell r="V358" t="str">
            <v>0000000019</v>
          </cell>
          <cell r="AJ358" t="str">
            <v xml:space="preserve">B3QJ </v>
          </cell>
        </row>
        <row r="359">
          <cell r="B359" t="str">
            <v xml:space="preserve">B376 </v>
          </cell>
          <cell r="D359" t="str">
            <v>F</v>
          </cell>
          <cell r="E359" t="str">
            <v>97403</v>
          </cell>
          <cell r="F359" t="str">
            <v>13216E6191-1</v>
          </cell>
          <cell r="L359" t="str">
            <v>TERMINAL,QUICK DISC</v>
          </cell>
          <cell r="R359" t="str">
            <v>5940</v>
          </cell>
          <cell r="S359" t="str">
            <v>009489686</v>
          </cell>
          <cell r="V359" t="str">
            <v>0000000004</v>
          </cell>
          <cell r="AJ359" t="str">
            <v xml:space="preserve">B3QJ </v>
          </cell>
        </row>
        <row r="360">
          <cell r="B360" t="str">
            <v xml:space="preserve">B4D2 </v>
          </cell>
          <cell r="D360" t="str">
            <v>F</v>
          </cell>
          <cell r="E360" t="str">
            <v>06383</v>
          </cell>
          <cell r="F360" t="str">
            <v>DVF14-250</v>
          </cell>
          <cell r="L360" t="str">
            <v>TERMINAL,QUICK DISC</v>
          </cell>
          <cell r="R360" t="str">
            <v>5940</v>
          </cell>
          <cell r="S360" t="str">
            <v>009260085</v>
          </cell>
          <cell r="V360" t="str">
            <v>0000000009</v>
          </cell>
          <cell r="AJ360" t="str">
            <v xml:space="preserve">B3QJ </v>
          </cell>
        </row>
        <row r="361">
          <cell r="B361" t="str">
            <v xml:space="preserve">B4KY </v>
          </cell>
          <cell r="D361" t="str">
            <v>F</v>
          </cell>
          <cell r="E361" t="str">
            <v>56501</v>
          </cell>
          <cell r="F361" t="str">
            <v>RB2517</v>
          </cell>
          <cell r="L361" t="str">
            <v>TERMINAL,QUICK DISC</v>
          </cell>
          <cell r="R361" t="str">
            <v>5940</v>
          </cell>
          <cell r="S361" t="str">
            <v>003787225</v>
          </cell>
          <cell r="V361" t="str">
            <v>0000000823</v>
          </cell>
          <cell r="AJ361" t="str">
            <v xml:space="preserve">B3QJ </v>
          </cell>
        </row>
        <row r="362">
          <cell r="B362" t="str">
            <v xml:space="preserve">B4RU </v>
          </cell>
          <cell r="D362" t="str">
            <v>F</v>
          </cell>
          <cell r="E362" t="str">
            <v>0UJB5</v>
          </cell>
          <cell r="F362" t="str">
            <v>MIL-001-650</v>
          </cell>
          <cell r="L362" t="str">
            <v>TERMINAL,QUICK DISC</v>
          </cell>
          <cell r="R362" t="str">
            <v>5940</v>
          </cell>
          <cell r="S362" t="str">
            <v>016005878</v>
          </cell>
          <cell r="V362" t="str">
            <v>0000000021</v>
          </cell>
          <cell r="AJ362" t="str">
            <v xml:space="preserve">B3QJ </v>
          </cell>
        </row>
        <row r="363">
          <cell r="B363" t="str">
            <v xml:space="preserve">B4XQ </v>
          </cell>
          <cell r="D363" t="str">
            <v>E</v>
          </cell>
          <cell r="E363" t="str">
            <v>0UJB5</v>
          </cell>
          <cell r="F363" t="str">
            <v>MIL-001-768</v>
          </cell>
          <cell r="L363" t="str">
            <v>BRACKET,MOUNTING</v>
          </cell>
          <cell r="R363" t="str">
            <v>5340</v>
          </cell>
          <cell r="S363" t="str">
            <v>016005343</v>
          </cell>
          <cell r="V363" t="str">
            <v>0000010019</v>
          </cell>
          <cell r="AJ363" t="str">
            <v xml:space="preserve">BXGS </v>
          </cell>
        </row>
        <row r="364">
          <cell r="B364" t="str">
            <v xml:space="preserve">B43L </v>
          </cell>
          <cell r="D364" t="str">
            <v>E</v>
          </cell>
          <cell r="E364" t="str">
            <v>39428</v>
          </cell>
          <cell r="F364" t="str">
            <v>91286A154</v>
          </cell>
          <cell r="L364" t="str">
            <v>SCREW,CAP,HEXAGON H</v>
          </cell>
          <cell r="R364" t="str">
            <v>5305</v>
          </cell>
          <cell r="S364" t="str">
            <v>015867988</v>
          </cell>
          <cell r="V364" t="str">
            <v>0000000117</v>
          </cell>
          <cell r="AJ364" t="str">
            <v xml:space="preserve">BXGS </v>
          </cell>
        </row>
        <row r="365">
          <cell r="B365" t="str">
            <v xml:space="preserve">B49G </v>
          </cell>
          <cell r="D365" t="str">
            <v>E</v>
          </cell>
          <cell r="E365" t="str">
            <v>0UJB5</v>
          </cell>
          <cell r="F365" t="str">
            <v>MIL-001-337</v>
          </cell>
          <cell r="L365" t="str">
            <v>NUT,PLAIN,HEXAGON</v>
          </cell>
          <cell r="R365" t="str">
            <v>5310</v>
          </cell>
          <cell r="S365" t="str">
            <v>016005905</v>
          </cell>
          <cell r="V365" t="str">
            <v>0000000016</v>
          </cell>
          <cell r="AJ365" t="str">
            <v xml:space="preserve">BXGS </v>
          </cell>
        </row>
        <row r="366">
          <cell r="B366" t="str">
            <v xml:space="preserve">B5FC </v>
          </cell>
          <cell r="D366" t="str">
            <v>E</v>
          </cell>
          <cell r="E366" t="str">
            <v>39428</v>
          </cell>
          <cell r="F366" t="str">
            <v>90108A415</v>
          </cell>
          <cell r="L366" t="str">
            <v>WASHER,FLAT</v>
          </cell>
          <cell r="R366" t="str">
            <v>5310</v>
          </cell>
          <cell r="S366" t="str">
            <v>015316759</v>
          </cell>
          <cell r="V366" t="str">
            <v>0000000006</v>
          </cell>
          <cell r="AJ366" t="str">
            <v xml:space="preserve">BXGS </v>
          </cell>
        </row>
        <row r="367">
          <cell r="B367" t="str">
            <v xml:space="preserve">B5L8 </v>
          </cell>
          <cell r="D367" t="str">
            <v>E</v>
          </cell>
          <cell r="E367" t="str">
            <v>0Y3H3</v>
          </cell>
          <cell r="F367" t="str">
            <v>1133620</v>
          </cell>
          <cell r="L367" t="str">
            <v>WASHER,LOCK</v>
          </cell>
          <cell r="R367" t="str">
            <v>5310</v>
          </cell>
          <cell r="S367" t="str">
            <v>015835810</v>
          </cell>
          <cell r="V367" t="str">
            <v>0000000978</v>
          </cell>
          <cell r="AJ367" t="str">
            <v xml:space="preserve">BXGS </v>
          </cell>
        </row>
        <row r="368">
          <cell r="B368" t="str">
            <v xml:space="preserve">B5S4 </v>
          </cell>
          <cell r="D368" t="str">
            <v>E</v>
          </cell>
          <cell r="E368" t="str">
            <v>0UJB5</v>
          </cell>
          <cell r="F368" t="str">
            <v>MIL-001-1191</v>
          </cell>
          <cell r="L368" t="str">
            <v>CABLE ASSEMBLY,SPEC</v>
          </cell>
          <cell r="R368" t="str">
            <v/>
          </cell>
          <cell r="S368" t="str">
            <v/>
          </cell>
          <cell r="V368" t="str">
            <v>0000006500</v>
          </cell>
          <cell r="AJ368" t="str">
            <v xml:space="preserve">BXGS </v>
          </cell>
        </row>
        <row r="369">
          <cell r="B369" t="str">
            <v xml:space="preserve">B5Y0 </v>
          </cell>
          <cell r="D369" t="str">
            <v>F</v>
          </cell>
          <cell r="E369" t="str">
            <v>0UJB5</v>
          </cell>
          <cell r="F369" t="str">
            <v>MIL-001-1545</v>
          </cell>
          <cell r="L369" t="str">
            <v>CABLE,POWER,ELECTRI</v>
          </cell>
          <cell r="R369" t="str">
            <v/>
          </cell>
          <cell r="S369" t="str">
            <v/>
          </cell>
          <cell r="V369" t="str">
            <v>0000000400</v>
          </cell>
          <cell r="AJ369" t="str">
            <v xml:space="preserve">B5S4 </v>
          </cell>
        </row>
        <row r="370">
          <cell r="B370" t="str">
            <v xml:space="preserve">B54W </v>
          </cell>
          <cell r="D370" t="str">
            <v>F</v>
          </cell>
          <cell r="E370" t="str">
            <v>11139</v>
          </cell>
          <cell r="F370" t="str">
            <v>DT06-4S</v>
          </cell>
          <cell r="L370" t="str">
            <v>CONNECTOR,PLUG,ELEC</v>
          </cell>
          <cell r="R370" t="str">
            <v>5935</v>
          </cell>
          <cell r="S370" t="str">
            <v>014846537</v>
          </cell>
          <cell r="V370" t="str">
            <v>0000000130</v>
          </cell>
          <cell r="AJ370" t="str">
            <v xml:space="preserve">B5S4 </v>
          </cell>
        </row>
        <row r="371">
          <cell r="B371" t="str">
            <v xml:space="preserve">B6AS </v>
          </cell>
          <cell r="D371" t="str">
            <v>F</v>
          </cell>
          <cell r="E371" t="str">
            <v>11139</v>
          </cell>
          <cell r="F371" t="str">
            <v>W4S-P012</v>
          </cell>
          <cell r="L371" t="str">
            <v>RETAINER,ELECTRICAL</v>
          </cell>
          <cell r="R371" t="str">
            <v>5935</v>
          </cell>
          <cell r="S371" t="str">
            <v>015176022</v>
          </cell>
          <cell r="V371" t="str">
            <v>0000000054</v>
          </cell>
          <cell r="AJ371" t="str">
            <v xml:space="preserve">B5S4 </v>
          </cell>
        </row>
        <row r="372">
          <cell r="B372" t="str">
            <v xml:space="preserve">B6GN </v>
          </cell>
          <cell r="D372" t="str">
            <v>F</v>
          </cell>
          <cell r="E372" t="str">
            <v>11139</v>
          </cell>
          <cell r="F372" t="str">
            <v>0462-201-16141</v>
          </cell>
          <cell r="L372" t="str">
            <v>CONTACT,ELECTRICAL</v>
          </cell>
          <cell r="R372" t="str">
            <v>5999</v>
          </cell>
          <cell r="S372" t="str">
            <v>012036687</v>
          </cell>
          <cell r="V372" t="str">
            <v>0000000040</v>
          </cell>
          <cell r="AJ372" t="str">
            <v xml:space="preserve">B5S4 </v>
          </cell>
        </row>
        <row r="373">
          <cell r="B373" t="str">
            <v xml:space="preserve">B6NJ </v>
          </cell>
          <cell r="D373" t="str">
            <v>F</v>
          </cell>
          <cell r="E373" t="str">
            <v>81343</v>
          </cell>
          <cell r="F373" t="str">
            <v>MS25036-105</v>
          </cell>
          <cell r="L373" t="str">
            <v>TERMINAL,LUG</v>
          </cell>
          <cell r="R373" t="str">
            <v>5940</v>
          </cell>
          <cell r="S373" t="str">
            <v>001434773</v>
          </cell>
          <cell r="V373" t="str">
            <v>0000001115</v>
          </cell>
          <cell r="AJ373" t="str">
            <v xml:space="preserve">B5S4 </v>
          </cell>
        </row>
        <row r="374">
          <cell r="B374" t="str">
            <v xml:space="preserve">B6UE </v>
          </cell>
          <cell r="D374" t="str">
            <v>F</v>
          </cell>
          <cell r="E374" t="str">
            <v>27264</v>
          </cell>
          <cell r="F374" t="str">
            <v>19204-0004</v>
          </cell>
          <cell r="L374" t="str">
            <v>TERMINAL</v>
          </cell>
          <cell r="R374" t="str">
            <v/>
          </cell>
          <cell r="S374" t="str">
            <v/>
          </cell>
          <cell r="V374" t="str">
            <v>0000000275</v>
          </cell>
          <cell r="AJ374" t="str">
            <v xml:space="preserve">B5S4 </v>
          </cell>
        </row>
        <row r="375">
          <cell r="B375" t="str">
            <v xml:space="preserve">B60A </v>
          </cell>
          <cell r="D375" t="str">
            <v>E</v>
          </cell>
          <cell r="E375" t="str">
            <v>0UJB5</v>
          </cell>
          <cell r="F375" t="str">
            <v>MIL-001-1194</v>
          </cell>
          <cell r="L375" t="str">
            <v>CABLE ASSEMBLY,SPEC</v>
          </cell>
          <cell r="R375" t="str">
            <v/>
          </cell>
          <cell r="S375" t="str">
            <v/>
          </cell>
          <cell r="V375" t="str">
            <v>0000060360</v>
          </cell>
          <cell r="AJ375" t="str">
            <v xml:space="preserve">BXGS </v>
          </cell>
        </row>
        <row r="376">
          <cell r="B376" t="str">
            <v xml:space="preserve">B656 </v>
          </cell>
          <cell r="D376" t="str">
            <v>F</v>
          </cell>
          <cell r="E376" t="str">
            <v>0UJB5</v>
          </cell>
          <cell r="F376" t="str">
            <v>MIL-001-1546</v>
          </cell>
          <cell r="L376" t="str">
            <v>WIRE,ELECTRICAL</v>
          </cell>
          <cell r="R376" t="str">
            <v/>
          </cell>
          <cell r="S376" t="str">
            <v/>
          </cell>
          <cell r="V376" t="str">
            <v>0000006983</v>
          </cell>
          <cell r="AJ376" t="str">
            <v xml:space="preserve">B60A </v>
          </cell>
        </row>
        <row r="377">
          <cell r="B377" t="str">
            <v xml:space="preserve">B7B2 </v>
          </cell>
          <cell r="D377" t="str">
            <v>F</v>
          </cell>
          <cell r="E377" t="str">
            <v>0UJB5</v>
          </cell>
          <cell r="F377" t="str">
            <v>MIL-001-1547</v>
          </cell>
          <cell r="L377" t="str">
            <v>WIRE,ELECTRICAL</v>
          </cell>
          <cell r="R377" t="str">
            <v/>
          </cell>
          <cell r="S377" t="str">
            <v/>
          </cell>
          <cell r="V377" t="str">
            <v>0000006983</v>
          </cell>
          <cell r="AJ377" t="str">
            <v xml:space="preserve">B60A </v>
          </cell>
        </row>
        <row r="378">
          <cell r="B378" t="str">
            <v xml:space="preserve">B7HY </v>
          </cell>
          <cell r="D378" t="str">
            <v>F</v>
          </cell>
          <cell r="E378" t="str">
            <v>39428</v>
          </cell>
          <cell r="F378" t="str">
            <v>7106K18</v>
          </cell>
          <cell r="L378" t="str">
            <v>TERMINAL,LUG</v>
          </cell>
          <cell r="R378" t="str">
            <v>5940</v>
          </cell>
          <cell r="S378" t="str">
            <v>012487774</v>
          </cell>
          <cell r="V378" t="str">
            <v>0000000442</v>
          </cell>
          <cell r="AJ378" t="str">
            <v xml:space="preserve">B60A </v>
          </cell>
        </row>
        <row r="379">
          <cell r="B379" t="str">
            <v xml:space="preserve">B7PU </v>
          </cell>
          <cell r="D379" t="str">
            <v>F</v>
          </cell>
          <cell r="E379" t="str">
            <v>034K5</v>
          </cell>
          <cell r="F379" t="str">
            <v>907-BK</v>
          </cell>
          <cell r="L379" t="str">
            <v>TERMINAL</v>
          </cell>
          <cell r="R379" t="str">
            <v/>
          </cell>
          <cell r="S379" t="str">
            <v/>
          </cell>
          <cell r="V379" t="str">
            <v>0000000659</v>
          </cell>
          <cell r="AJ379" t="str">
            <v xml:space="preserve">B60A </v>
          </cell>
        </row>
        <row r="380">
          <cell r="B380" t="str">
            <v xml:space="preserve">B7VQ </v>
          </cell>
          <cell r="D380" t="str">
            <v>F</v>
          </cell>
          <cell r="E380" t="str">
            <v>034K5</v>
          </cell>
          <cell r="F380" t="str">
            <v>P906-BK</v>
          </cell>
          <cell r="L380" t="str">
            <v>CONNECTOR,PLUG,ELEC</v>
          </cell>
          <cell r="R380" t="str">
            <v/>
          </cell>
          <cell r="S380" t="str">
            <v/>
          </cell>
          <cell r="V380" t="str">
            <v>0000001702</v>
          </cell>
          <cell r="AJ380" t="str">
            <v xml:space="preserve">B60A </v>
          </cell>
        </row>
        <row r="381">
          <cell r="B381" t="str">
            <v xml:space="preserve">B71L </v>
          </cell>
          <cell r="D381" t="str">
            <v>F</v>
          </cell>
          <cell r="E381" t="str">
            <v>0UJB5</v>
          </cell>
          <cell r="F381" t="str">
            <v>MIL-001-1548</v>
          </cell>
          <cell r="L381" t="str">
            <v>CONDUIT,NONMETALLIC</v>
          </cell>
          <cell r="R381" t="str">
            <v/>
          </cell>
          <cell r="S381" t="str">
            <v/>
          </cell>
          <cell r="V381" t="str">
            <v>0000000375</v>
          </cell>
          <cell r="AJ381" t="str">
            <v xml:space="preserve">B60A </v>
          </cell>
        </row>
        <row r="382">
          <cell r="B382" t="str">
            <v xml:space="preserve">B77G </v>
          </cell>
          <cell r="D382" t="str">
            <v>F</v>
          </cell>
          <cell r="E382" t="str">
            <v>0PVE5</v>
          </cell>
          <cell r="F382" t="str">
            <v>18693</v>
          </cell>
          <cell r="L382" t="str">
            <v>HEAT SHRINK SLEEVE</v>
          </cell>
          <cell r="R382" t="str">
            <v/>
          </cell>
          <cell r="S382" t="str">
            <v/>
          </cell>
          <cell r="V382" t="str">
            <v>0000000500</v>
          </cell>
          <cell r="AJ382" t="str">
            <v xml:space="preserve">B60A </v>
          </cell>
        </row>
        <row r="383">
          <cell r="B383" t="str">
            <v xml:space="preserve">B8DC </v>
          </cell>
          <cell r="D383" t="str">
            <v>F</v>
          </cell>
          <cell r="E383" t="str">
            <v>0PVE5</v>
          </cell>
          <cell r="F383" t="str">
            <v>18694</v>
          </cell>
          <cell r="L383" t="str">
            <v>HEAT SHRINK SLEEVE</v>
          </cell>
          <cell r="R383" t="str">
            <v/>
          </cell>
          <cell r="S383" t="str">
            <v/>
          </cell>
          <cell r="V383" t="str">
            <v>0000001000</v>
          </cell>
          <cell r="AJ383" t="str">
            <v xml:space="preserve">B60A </v>
          </cell>
        </row>
        <row r="384">
          <cell r="B384" t="str">
            <v xml:space="preserve">B8J8 </v>
          </cell>
          <cell r="D384" t="str">
            <v>D</v>
          </cell>
          <cell r="E384" t="str">
            <v>0UJB5</v>
          </cell>
          <cell r="F384" t="str">
            <v>MIL-001-1573</v>
          </cell>
          <cell r="L384" t="str">
            <v>COVER,ELECTRIC FAN</v>
          </cell>
          <cell r="R384" t="str">
            <v/>
          </cell>
          <cell r="S384" t="str">
            <v/>
          </cell>
          <cell r="V384" t="str">
            <v>0000175000</v>
          </cell>
          <cell r="AJ384" t="str">
            <v xml:space="preserve">BXAW </v>
          </cell>
        </row>
        <row r="385">
          <cell r="B385" t="str">
            <v xml:space="preserve">B8Q4 </v>
          </cell>
          <cell r="D385" t="str">
            <v>E</v>
          </cell>
          <cell r="E385" t="str">
            <v>0UJB5</v>
          </cell>
          <cell r="F385" t="str">
            <v>MIL-001-1362</v>
          </cell>
          <cell r="L385" t="str">
            <v>COVER</v>
          </cell>
          <cell r="R385" t="str">
            <v/>
          </cell>
          <cell r="S385" t="str">
            <v/>
          </cell>
          <cell r="V385" t="str">
            <v>0000090000</v>
          </cell>
          <cell r="AJ385" t="str">
            <v xml:space="preserve">B8J8 </v>
          </cell>
        </row>
        <row r="386">
          <cell r="B386" t="str">
            <v xml:space="preserve">B8W0 </v>
          </cell>
          <cell r="D386" t="str">
            <v>E</v>
          </cell>
          <cell r="E386" t="str">
            <v>0UJB5</v>
          </cell>
          <cell r="F386" t="str">
            <v>MIL-001-1363</v>
          </cell>
          <cell r="L386" t="str">
            <v>COVER</v>
          </cell>
          <cell r="R386" t="str">
            <v/>
          </cell>
          <cell r="S386" t="str">
            <v/>
          </cell>
          <cell r="V386" t="str">
            <v>0000092500</v>
          </cell>
          <cell r="AJ386" t="str">
            <v xml:space="preserve">B8J8 </v>
          </cell>
        </row>
        <row r="387">
          <cell r="B387" t="str">
            <v xml:space="preserve">B82W </v>
          </cell>
          <cell r="D387" t="str">
            <v>E</v>
          </cell>
          <cell r="E387" t="str">
            <v>4Z4S7</v>
          </cell>
          <cell r="F387" t="str">
            <v>VA14-BP7/C-34A</v>
          </cell>
          <cell r="L387" t="str">
            <v>FAN,CIRCULATING</v>
          </cell>
          <cell r="R387" t="str">
            <v/>
          </cell>
          <cell r="S387" t="str">
            <v/>
          </cell>
          <cell r="V387" t="str">
            <v>0000007245</v>
          </cell>
          <cell r="AJ387" t="str">
            <v xml:space="preserve">B8J8 </v>
          </cell>
        </row>
        <row r="388">
          <cell r="B388" t="str">
            <v xml:space="preserve">B88S </v>
          </cell>
          <cell r="D388" t="str">
            <v>E</v>
          </cell>
          <cell r="E388" t="str">
            <v>0N0N0</v>
          </cell>
          <cell r="F388" t="str">
            <v>33-2287</v>
          </cell>
          <cell r="L388" t="str">
            <v xml:space="preserve">FILTER ELEMENT,AIR </v>
          </cell>
          <cell r="R388" t="str">
            <v>4130</v>
          </cell>
          <cell r="S388" t="str">
            <v>016005359</v>
          </cell>
          <cell r="V388" t="str">
            <v>0000005895</v>
          </cell>
          <cell r="AJ388" t="str">
            <v xml:space="preserve">B8J8 </v>
          </cell>
        </row>
        <row r="389">
          <cell r="B389" t="str">
            <v xml:space="preserve">B9EN </v>
          </cell>
          <cell r="D389" t="str">
            <v>E</v>
          </cell>
          <cell r="E389" t="str">
            <v>0UJB5</v>
          </cell>
          <cell r="F389" t="str">
            <v>MIL-001-250</v>
          </cell>
          <cell r="L389" t="str">
            <v>BOLT,MACHINE</v>
          </cell>
          <cell r="R389" t="str">
            <v>5306</v>
          </cell>
          <cell r="S389" t="str">
            <v>015742072</v>
          </cell>
          <cell r="V389" t="str">
            <v>0000000022</v>
          </cell>
          <cell r="AJ389" t="str">
            <v xml:space="preserve">B8J8 </v>
          </cell>
        </row>
        <row r="390">
          <cell r="B390" t="str">
            <v xml:space="preserve">B9LJ </v>
          </cell>
          <cell r="D390" t="str">
            <v>E</v>
          </cell>
          <cell r="E390" t="str">
            <v>80205</v>
          </cell>
          <cell r="F390" t="str">
            <v>NASM51959-83</v>
          </cell>
          <cell r="L390" t="str">
            <v>SCREW,MACHINE</v>
          </cell>
          <cell r="R390" t="str">
            <v>5305</v>
          </cell>
          <cell r="S390" t="str">
            <v>012044186</v>
          </cell>
          <cell r="V390" t="str">
            <v>0000000064</v>
          </cell>
          <cell r="AJ390" t="str">
            <v xml:space="preserve">B8J8 </v>
          </cell>
        </row>
        <row r="391">
          <cell r="B391" t="str">
            <v xml:space="preserve">B9SE </v>
          </cell>
          <cell r="D391" t="str">
            <v>E</v>
          </cell>
          <cell r="E391" t="str">
            <v>0UJB5</v>
          </cell>
          <cell r="F391" t="str">
            <v>MIL-001-258</v>
          </cell>
          <cell r="L391" t="str">
            <v>NUT,PLAIN,HEXAGON</v>
          </cell>
          <cell r="R391" t="str">
            <v>5310</v>
          </cell>
          <cell r="S391" t="str">
            <v>015738790</v>
          </cell>
          <cell r="V391" t="str">
            <v>0000000021</v>
          </cell>
          <cell r="AJ391" t="str">
            <v xml:space="preserve">B8J8 </v>
          </cell>
        </row>
        <row r="392">
          <cell r="B392" t="str">
            <v xml:space="preserve">B9YA </v>
          </cell>
          <cell r="D392" t="str">
            <v>E</v>
          </cell>
          <cell r="E392" t="str">
            <v>0UJB5</v>
          </cell>
          <cell r="F392" t="str">
            <v>MIL-001-259</v>
          </cell>
          <cell r="L392" t="str">
            <v>WASHER,FLAT</v>
          </cell>
          <cell r="R392" t="str">
            <v>5310</v>
          </cell>
          <cell r="S392" t="str">
            <v>015738789</v>
          </cell>
          <cell r="V392" t="str">
            <v>0000000023</v>
          </cell>
          <cell r="AJ392" t="str">
            <v xml:space="preserve">B8J8 </v>
          </cell>
        </row>
        <row r="393">
          <cell r="B393" t="str">
            <v xml:space="preserve">B936 </v>
          </cell>
          <cell r="D393" t="str">
            <v>E</v>
          </cell>
          <cell r="E393" t="str">
            <v>39428</v>
          </cell>
          <cell r="F393" t="str">
            <v>90108A413</v>
          </cell>
          <cell r="L393" t="str">
            <v>WASHER,FLAT</v>
          </cell>
          <cell r="R393" t="str">
            <v>5310</v>
          </cell>
          <cell r="S393" t="str">
            <v>015316758</v>
          </cell>
          <cell r="V393" t="str">
            <v>0000000005</v>
          </cell>
          <cell r="AJ393" t="str">
            <v xml:space="preserve">B8J8 </v>
          </cell>
        </row>
        <row r="394">
          <cell r="B394" t="str">
            <v xml:space="preserve">B992 </v>
          </cell>
          <cell r="D394" t="str">
            <v>E</v>
          </cell>
          <cell r="E394" t="str">
            <v>3A054</v>
          </cell>
          <cell r="F394" t="str">
            <v>91102A750</v>
          </cell>
          <cell r="L394" t="str">
            <v>WASHER,LOCK</v>
          </cell>
          <cell r="R394" t="str">
            <v>5310</v>
          </cell>
          <cell r="S394" t="str">
            <v>016112340</v>
          </cell>
          <cell r="V394" t="str">
            <v>0000000019</v>
          </cell>
          <cell r="AJ394" t="str">
            <v xml:space="preserve">B8J8 </v>
          </cell>
        </row>
        <row r="395">
          <cell r="B395" t="str">
            <v xml:space="preserve">CAFY </v>
          </cell>
          <cell r="D395" t="str">
            <v>E</v>
          </cell>
          <cell r="E395" t="str">
            <v>0PVE5</v>
          </cell>
          <cell r="F395" t="str">
            <v>17384</v>
          </cell>
          <cell r="L395" t="str">
            <v>WASHER,FLAT</v>
          </cell>
          <cell r="R395" t="str">
            <v>5310</v>
          </cell>
          <cell r="S395" t="str">
            <v>015660640</v>
          </cell>
          <cell r="V395" t="str">
            <v>0000000352</v>
          </cell>
          <cell r="AJ395" t="str">
            <v xml:space="preserve">B8J8 </v>
          </cell>
        </row>
        <row r="396">
          <cell r="B396" t="str">
            <v xml:space="preserve">CAMU </v>
          </cell>
          <cell r="D396" t="str">
            <v>E</v>
          </cell>
          <cell r="E396" t="str">
            <v>0Y3H3</v>
          </cell>
          <cell r="F396" t="str">
            <v>0153964</v>
          </cell>
          <cell r="L396" t="str">
            <v>SCREW,CAP,HEXAGON H</v>
          </cell>
          <cell r="R396" t="str">
            <v>5305</v>
          </cell>
          <cell r="S396" t="str">
            <v>015640955</v>
          </cell>
          <cell r="V396" t="str">
            <v>0000000011</v>
          </cell>
          <cell r="AJ396" t="str">
            <v xml:space="preserve">B8J8 </v>
          </cell>
        </row>
        <row r="397">
          <cell r="B397" t="str">
            <v xml:space="preserve">CATQ </v>
          </cell>
          <cell r="D397" t="str">
            <v>E</v>
          </cell>
          <cell r="E397" t="str">
            <v>19397</v>
          </cell>
          <cell r="F397" t="str">
            <v>L140127-06</v>
          </cell>
          <cell r="L397" t="str">
            <v>WASHER,LOCK</v>
          </cell>
          <cell r="R397" t="str">
            <v>5310</v>
          </cell>
          <cell r="S397" t="str">
            <v>015336196</v>
          </cell>
          <cell r="V397" t="str">
            <v>0000000004</v>
          </cell>
          <cell r="AJ397" t="str">
            <v xml:space="preserve">B8J8 </v>
          </cell>
        </row>
        <row r="398">
          <cell r="B398" t="str">
            <v xml:space="preserve">CAZL </v>
          </cell>
          <cell r="D398" t="str">
            <v>C</v>
          </cell>
          <cell r="E398" t="str">
            <v>0UJB5</v>
          </cell>
          <cell r="F398" t="str">
            <v>MIL-001-072</v>
          </cell>
          <cell r="L398" t="str">
            <v>VALVE,HYDRAULIC</v>
          </cell>
          <cell r="R398" t="str">
            <v>4730</v>
          </cell>
          <cell r="S398" t="str">
            <v>015689344</v>
          </cell>
          <cell r="V398" t="str">
            <v>0000596300</v>
          </cell>
          <cell r="AJ398" t="str">
            <v xml:space="preserve">AAF6 </v>
          </cell>
        </row>
        <row r="399">
          <cell r="B399" t="str">
            <v xml:space="preserve">CA5G </v>
          </cell>
          <cell r="D399" t="str">
            <v>D</v>
          </cell>
          <cell r="E399" t="str">
            <v>0UJB5</v>
          </cell>
          <cell r="F399" t="str">
            <v>MIL-001-400</v>
          </cell>
          <cell r="L399" t="str">
            <v>VALVE,SOLENOID</v>
          </cell>
          <cell r="R399" t="str">
            <v>4810</v>
          </cell>
          <cell r="S399" t="str">
            <v>016005302</v>
          </cell>
          <cell r="V399" t="str">
            <v>0000491485</v>
          </cell>
          <cell r="AJ399" t="str">
            <v xml:space="preserve">CAZL </v>
          </cell>
        </row>
        <row r="400">
          <cell r="B400" t="str">
            <v xml:space="preserve">CBBC </v>
          </cell>
          <cell r="D400" t="str">
            <v>E</v>
          </cell>
          <cell r="E400" t="str">
            <v>8Z296</v>
          </cell>
          <cell r="F400" t="str">
            <v>157B3171</v>
          </cell>
          <cell r="L400" t="str">
            <v>BODY SECTION, WORKI</v>
          </cell>
          <cell r="R400" t="str">
            <v>4820</v>
          </cell>
          <cell r="S400" t="str">
            <v>015295465</v>
          </cell>
          <cell r="V400" t="str">
            <v>0000004760</v>
          </cell>
          <cell r="AJ400" t="str">
            <v xml:space="preserve">CA5G </v>
          </cell>
        </row>
        <row r="401">
          <cell r="B401" t="str">
            <v xml:space="preserve">CBG8 </v>
          </cell>
          <cell r="D401" t="str">
            <v>F</v>
          </cell>
          <cell r="E401" t="str">
            <v>24976</v>
          </cell>
          <cell r="F401" t="str">
            <v>157B3999</v>
          </cell>
          <cell r="L401" t="str">
            <v>PARTS KIT, SEAL REP</v>
          </cell>
          <cell r="R401" t="str">
            <v>5330</v>
          </cell>
          <cell r="S401" t="str">
            <v>015306145</v>
          </cell>
          <cell r="V401" t="str">
            <v>0000002480</v>
          </cell>
          <cell r="AJ401" t="str">
            <v xml:space="preserve">CBBC </v>
          </cell>
        </row>
        <row r="402">
          <cell r="B402" t="str">
            <v xml:space="preserve">CBKS </v>
          </cell>
          <cell r="D402" t="str">
            <v>F</v>
          </cell>
          <cell r="E402" t="str">
            <v>75Q65</v>
          </cell>
          <cell r="F402" t="str">
            <v>3KP468</v>
          </cell>
          <cell r="L402" t="str">
            <v>VALVE PLATE,HYDRAUL</v>
          </cell>
          <cell r="R402" t="str">
            <v>4320</v>
          </cell>
          <cell r="S402" t="str">
            <v>015133113</v>
          </cell>
          <cell r="V402" t="str">
            <v>0000010064</v>
          </cell>
          <cell r="AJ402" t="str">
            <v xml:space="preserve">CBBC </v>
          </cell>
        </row>
        <row r="403">
          <cell r="B403" t="str">
            <v xml:space="preserve">CBN4 </v>
          </cell>
          <cell r="D403" t="str">
            <v>E</v>
          </cell>
          <cell r="E403" t="str">
            <v>0UJB5</v>
          </cell>
          <cell r="F403" t="str">
            <v>MIL-001-463</v>
          </cell>
          <cell r="L403" t="str">
            <v>SOLENOID, ELECTRICA</v>
          </cell>
          <cell r="R403" t="str">
            <v>5945</v>
          </cell>
          <cell r="S403" t="str">
            <v>015738747</v>
          </cell>
          <cell r="V403" t="str">
            <v>0000142810</v>
          </cell>
          <cell r="AJ403" t="str">
            <v xml:space="preserve">CA5G </v>
          </cell>
        </row>
        <row r="404">
          <cell r="B404" t="str">
            <v xml:space="preserve">CBU0 </v>
          </cell>
          <cell r="D404" t="str">
            <v>F</v>
          </cell>
          <cell r="E404" t="str">
            <v>8Z296</v>
          </cell>
          <cell r="F404" t="str">
            <v>157B4997</v>
          </cell>
          <cell r="L404" t="str">
            <v>PARTS KIT, SEAL REP</v>
          </cell>
          <cell r="R404" t="str">
            <v>5330</v>
          </cell>
          <cell r="S404" t="str">
            <v>014313087</v>
          </cell>
          <cell r="V404" t="str">
            <v>0000000671</v>
          </cell>
          <cell r="AJ404" t="str">
            <v xml:space="preserve">CBN4 </v>
          </cell>
        </row>
        <row r="405">
          <cell r="B405" t="str">
            <v xml:space="preserve">CB0W </v>
          </cell>
          <cell r="D405" t="str">
            <v>E</v>
          </cell>
          <cell r="E405" t="str">
            <v>8Z296</v>
          </cell>
          <cell r="F405" t="str">
            <v>157B5312</v>
          </cell>
          <cell r="L405" t="str">
            <v>VALVE, SAFETY RELIE</v>
          </cell>
          <cell r="R405" t="str">
            <v>4820</v>
          </cell>
          <cell r="S405" t="str">
            <v>016213321</v>
          </cell>
          <cell r="V405" t="str">
            <v>0000024380</v>
          </cell>
          <cell r="AJ405" t="str">
            <v xml:space="preserve">CA5G </v>
          </cell>
        </row>
        <row r="406">
          <cell r="B406" t="str">
            <v xml:space="preserve">CB6S </v>
          </cell>
          <cell r="D406" t="str">
            <v>F</v>
          </cell>
          <cell r="E406" t="str">
            <v>24976</v>
          </cell>
          <cell r="F406" t="str">
            <v>157B5999</v>
          </cell>
          <cell r="L406" t="str">
            <v>PART KIT, LINEAR DI</v>
          </cell>
          <cell r="R406" t="str">
            <v>4820</v>
          </cell>
          <cell r="S406" t="str">
            <v>014571022</v>
          </cell>
          <cell r="V406" t="str">
            <v>0000000993</v>
          </cell>
          <cell r="AJ406" t="str">
            <v xml:space="preserve">CB0W </v>
          </cell>
        </row>
        <row r="407">
          <cell r="B407" t="str">
            <v xml:space="preserve">CCCN </v>
          </cell>
          <cell r="D407" t="str">
            <v>E</v>
          </cell>
          <cell r="E407" t="str">
            <v>8Z296</v>
          </cell>
          <cell r="F407" t="str">
            <v>157B4238</v>
          </cell>
          <cell r="L407" t="str">
            <v>VALVE,UNLOADING</v>
          </cell>
          <cell r="R407" t="str">
            <v/>
          </cell>
          <cell r="S407" t="str">
            <v/>
          </cell>
          <cell r="V407" t="str">
            <v>0000025000</v>
          </cell>
          <cell r="AJ407" t="str">
            <v xml:space="preserve">CA5G </v>
          </cell>
        </row>
        <row r="408">
          <cell r="B408" t="str">
            <v xml:space="preserve">CCFR </v>
          </cell>
          <cell r="D408" t="str">
            <v>F</v>
          </cell>
          <cell r="E408" t="str">
            <v>0UJB5</v>
          </cell>
          <cell r="F408" t="str">
            <v>MIL-001-461</v>
          </cell>
          <cell r="L408" t="str">
            <v>COIL,ELECTRICAL</v>
          </cell>
          <cell r="R408" t="str">
            <v>5950</v>
          </cell>
          <cell r="S408" t="str">
            <v>015662598</v>
          </cell>
          <cell r="V408" t="str">
            <v>0000019890</v>
          </cell>
          <cell r="AJ408" t="str">
            <v xml:space="preserve">CCCN </v>
          </cell>
        </row>
        <row r="409">
          <cell r="B409" t="str">
            <v xml:space="preserve">CCHV </v>
          </cell>
          <cell r="D409" t="str">
            <v>F</v>
          </cell>
          <cell r="E409" t="str">
            <v>0UJB5</v>
          </cell>
          <cell r="F409" t="str">
            <v>MIL-001-719</v>
          </cell>
          <cell r="L409" t="str">
            <v>CAP,VALVE</v>
          </cell>
          <cell r="R409" t="str">
            <v>4810</v>
          </cell>
          <cell r="S409" t="str">
            <v>016005303</v>
          </cell>
          <cell r="V409" t="str">
            <v>0000000510</v>
          </cell>
          <cell r="AJ409" t="str">
            <v xml:space="preserve">CCCN </v>
          </cell>
        </row>
        <row r="410">
          <cell r="B410" t="str">
            <v xml:space="preserve">CCJJ </v>
          </cell>
          <cell r="D410" t="str">
            <v>F</v>
          </cell>
          <cell r="E410" t="str">
            <v>8Z296</v>
          </cell>
          <cell r="F410" t="str">
            <v>157B4996</v>
          </cell>
          <cell r="L410" t="str">
            <v>DUMP VALVE SOLENOID</v>
          </cell>
          <cell r="R410" t="str">
            <v/>
          </cell>
          <cell r="S410" t="str">
            <v/>
          </cell>
          <cell r="V410" t="str">
            <v>0000001511</v>
          </cell>
          <cell r="AJ410" t="str">
            <v xml:space="preserve">CCCN </v>
          </cell>
        </row>
        <row r="411">
          <cell r="B411" t="str">
            <v xml:space="preserve">CCKM </v>
          </cell>
          <cell r="D411" t="str">
            <v>G</v>
          </cell>
          <cell r="E411" t="str">
            <v>0UJB5</v>
          </cell>
          <cell r="F411" t="str">
            <v>MIL-001-598</v>
          </cell>
          <cell r="L411" t="str">
            <v>O-RING</v>
          </cell>
          <cell r="R411" t="str">
            <v>5331</v>
          </cell>
          <cell r="S411" t="str">
            <v>015702389</v>
          </cell>
          <cell r="V411" t="str">
            <v>0000000092</v>
          </cell>
          <cell r="AJ411" t="str">
            <v xml:space="preserve">CCJJ </v>
          </cell>
        </row>
        <row r="412">
          <cell r="B412" t="str">
            <v xml:space="preserve">CCQE </v>
          </cell>
          <cell r="D412" t="str">
            <v>E</v>
          </cell>
          <cell r="E412" t="str">
            <v>8Z296</v>
          </cell>
          <cell r="F412" t="str">
            <v>157B6630</v>
          </cell>
          <cell r="L412" t="str">
            <v>BODY, VALVE</v>
          </cell>
          <cell r="R412" t="str">
            <v>4820</v>
          </cell>
          <cell r="S412" t="str">
            <v>015356481</v>
          </cell>
          <cell r="V412" t="str">
            <v>0000020463</v>
          </cell>
          <cell r="AJ412" t="str">
            <v xml:space="preserve">CA5G </v>
          </cell>
        </row>
        <row r="413">
          <cell r="B413" t="str">
            <v xml:space="preserve">CCWA </v>
          </cell>
          <cell r="D413" t="str">
            <v>F</v>
          </cell>
          <cell r="E413" t="str">
            <v>0UJB5</v>
          </cell>
          <cell r="F413" t="str">
            <v>MIL-001-464</v>
          </cell>
          <cell r="L413" t="str">
            <v xml:space="preserve">SLIDE, DIRECTIONAL </v>
          </cell>
          <cell r="R413" t="str">
            <v>4820</v>
          </cell>
          <cell r="S413" t="str">
            <v>015738751</v>
          </cell>
          <cell r="V413" t="str">
            <v>0000017193</v>
          </cell>
          <cell r="AJ413" t="str">
            <v xml:space="preserve">CCQE </v>
          </cell>
        </row>
        <row r="414">
          <cell r="B414" t="str">
            <v xml:space="preserve">CC16 </v>
          </cell>
          <cell r="D414" t="str">
            <v>F</v>
          </cell>
          <cell r="E414" t="str">
            <v>0UJB5</v>
          </cell>
          <cell r="F414" t="str">
            <v>MIL-001-465</v>
          </cell>
          <cell r="L414" t="str">
            <v>BAR SHOCK, VALVE</v>
          </cell>
          <cell r="R414" t="str">
            <v>4820</v>
          </cell>
          <cell r="S414" t="str">
            <v>015738752</v>
          </cell>
          <cell r="V414" t="str">
            <v>0000007031</v>
          </cell>
          <cell r="AJ414" t="str">
            <v xml:space="preserve">CCQE </v>
          </cell>
        </row>
        <row r="415">
          <cell r="B415" t="str">
            <v xml:space="preserve">CC72 </v>
          </cell>
          <cell r="D415" t="str">
            <v>F</v>
          </cell>
          <cell r="E415" t="str">
            <v>75Q65</v>
          </cell>
          <cell r="F415" t="str">
            <v>6HR775</v>
          </cell>
          <cell r="L415" t="str">
            <v>PARTS KIT, SEAL REP</v>
          </cell>
          <cell r="R415" t="str">
            <v>5330</v>
          </cell>
          <cell r="S415" t="str">
            <v>014313095</v>
          </cell>
          <cell r="V415" t="str">
            <v>0000000912</v>
          </cell>
          <cell r="AJ415" t="str">
            <v xml:space="preserve">CCQE </v>
          </cell>
        </row>
        <row r="416">
          <cell r="B416" t="str">
            <v xml:space="preserve">CDDY </v>
          </cell>
          <cell r="D416" t="str">
            <v>F</v>
          </cell>
          <cell r="E416" t="str">
            <v>0UJB5</v>
          </cell>
          <cell r="F416" t="str">
            <v>MIL-001-466</v>
          </cell>
          <cell r="L416" t="str">
            <v>VALVE, LINEAR, DIRE</v>
          </cell>
          <cell r="R416" t="str">
            <v>4820</v>
          </cell>
          <cell r="S416" t="str">
            <v>015738754</v>
          </cell>
          <cell r="V416" t="str">
            <v>0000013971</v>
          </cell>
          <cell r="AJ416" t="str">
            <v xml:space="preserve">CCQE </v>
          </cell>
        </row>
        <row r="417">
          <cell r="B417" t="str">
            <v xml:space="preserve">CDKU </v>
          </cell>
          <cell r="D417" t="str">
            <v>F</v>
          </cell>
          <cell r="E417" t="str">
            <v>0UJB5</v>
          </cell>
          <cell r="F417" t="str">
            <v>MIL-001-467</v>
          </cell>
          <cell r="L417" t="str">
            <v>VALVE, ANTI-CAVITAT</v>
          </cell>
          <cell r="R417" t="str">
            <v>4820</v>
          </cell>
          <cell r="S417" t="str">
            <v>015738753</v>
          </cell>
          <cell r="V417" t="str">
            <v>0000002821</v>
          </cell>
          <cell r="AJ417" t="str">
            <v xml:space="preserve">CCQE </v>
          </cell>
        </row>
        <row r="418">
          <cell r="B418" t="str">
            <v xml:space="preserve">CDRQ </v>
          </cell>
          <cell r="D418" t="str">
            <v>F</v>
          </cell>
          <cell r="E418" t="str">
            <v>0UJB5</v>
          </cell>
          <cell r="F418" t="str">
            <v>MIL-001-468</v>
          </cell>
          <cell r="L418" t="str">
            <v>BAR SHOCK, VALVE</v>
          </cell>
          <cell r="R418" t="str">
            <v>4820</v>
          </cell>
          <cell r="S418" t="str">
            <v>015738755</v>
          </cell>
          <cell r="V418" t="str">
            <v>0000009071</v>
          </cell>
          <cell r="AJ418" t="str">
            <v xml:space="preserve">CCQE </v>
          </cell>
        </row>
        <row r="419">
          <cell r="B419" t="str">
            <v xml:space="preserve">CDXL </v>
          </cell>
          <cell r="D419" t="str">
            <v>E</v>
          </cell>
          <cell r="E419" t="str">
            <v>24976</v>
          </cell>
          <cell r="F419" t="str">
            <v>157B6600</v>
          </cell>
          <cell r="L419" t="str">
            <v>BODY, VALVE</v>
          </cell>
          <cell r="R419" t="str">
            <v>4810</v>
          </cell>
          <cell r="S419" t="str">
            <v>016283940</v>
          </cell>
          <cell r="V419" t="str">
            <v>0000026794</v>
          </cell>
          <cell r="AJ419" t="str">
            <v xml:space="preserve">CA5G </v>
          </cell>
        </row>
        <row r="420">
          <cell r="B420" t="str">
            <v xml:space="preserve">CDZL </v>
          </cell>
          <cell r="D420" t="str">
            <v>F</v>
          </cell>
          <cell r="E420" t="str">
            <v>75Q65</v>
          </cell>
          <cell r="F420" t="str">
            <v>6HR775</v>
          </cell>
          <cell r="L420" t="str">
            <v>PARTS KIT, SEAL REP</v>
          </cell>
          <cell r="R420" t="str">
            <v>5330</v>
          </cell>
          <cell r="S420" t="str">
            <v>014313095</v>
          </cell>
          <cell r="V420" t="str">
            <v>0000000912</v>
          </cell>
          <cell r="AJ420" t="str">
            <v xml:space="preserve">CDXL </v>
          </cell>
        </row>
        <row r="421">
          <cell r="B421" t="str">
            <v xml:space="preserve">CD3G </v>
          </cell>
          <cell r="D421" t="str">
            <v>F</v>
          </cell>
          <cell r="E421" t="str">
            <v>8Z296</v>
          </cell>
          <cell r="F421" t="str">
            <v>157B7105</v>
          </cell>
          <cell r="L421" t="str">
            <v xml:space="preserve">SLIDE, DIRECTIONAL </v>
          </cell>
          <cell r="R421" t="str">
            <v/>
          </cell>
          <cell r="S421" t="str">
            <v/>
          </cell>
          <cell r="V421" t="str">
            <v>0000010749</v>
          </cell>
          <cell r="AJ421" t="str">
            <v xml:space="preserve">CDXL </v>
          </cell>
        </row>
        <row r="422">
          <cell r="B422" t="str">
            <v xml:space="preserve">CD9C </v>
          </cell>
          <cell r="D422" t="str">
            <v>F</v>
          </cell>
          <cell r="E422" t="str">
            <v>0UJB5</v>
          </cell>
          <cell r="F422" t="str">
            <v>MIL-001-470</v>
          </cell>
          <cell r="L422" t="str">
            <v xml:space="preserve">SLIDE, DIRECTIONAL </v>
          </cell>
          <cell r="R422" t="str">
            <v>4820</v>
          </cell>
          <cell r="S422" t="str">
            <v>015738757</v>
          </cell>
          <cell r="V422" t="str">
            <v>0000013971</v>
          </cell>
          <cell r="AJ422" t="str">
            <v xml:space="preserve">CDXL </v>
          </cell>
        </row>
        <row r="423">
          <cell r="B423" t="str">
            <v xml:space="preserve">CEE8 </v>
          </cell>
          <cell r="D423" t="str">
            <v>E</v>
          </cell>
          <cell r="E423" t="str">
            <v>0UJB5</v>
          </cell>
          <cell r="F423" t="str">
            <v>MIL-001-471</v>
          </cell>
          <cell r="L423" t="str">
            <v>VALVE, CHECK</v>
          </cell>
          <cell r="R423" t="str">
            <v>4820</v>
          </cell>
          <cell r="S423" t="str">
            <v>015738758</v>
          </cell>
          <cell r="V423" t="str">
            <v>0000086182</v>
          </cell>
          <cell r="AJ423" t="str">
            <v xml:space="preserve">CA5G </v>
          </cell>
        </row>
        <row r="424">
          <cell r="B424" t="str">
            <v xml:space="preserve">CEG8 </v>
          </cell>
          <cell r="D424" t="str">
            <v>F</v>
          </cell>
          <cell r="E424" t="str">
            <v>75Q65</v>
          </cell>
          <cell r="F424" t="str">
            <v>6HR775</v>
          </cell>
          <cell r="L424" t="str">
            <v>PARTS KIT, SEAL REP</v>
          </cell>
          <cell r="R424" t="str">
            <v>5330</v>
          </cell>
          <cell r="S424" t="str">
            <v>014313095</v>
          </cell>
          <cell r="V424" t="str">
            <v>0000000912</v>
          </cell>
          <cell r="AJ424" t="str">
            <v xml:space="preserve">CEE8 </v>
          </cell>
        </row>
        <row r="425">
          <cell r="B425" t="str">
            <v xml:space="preserve">CEL4 </v>
          </cell>
          <cell r="D425" t="str">
            <v>F</v>
          </cell>
          <cell r="E425" t="str">
            <v>0UJB5</v>
          </cell>
          <cell r="F425" t="str">
            <v>MIL-001-472</v>
          </cell>
          <cell r="L425" t="str">
            <v xml:space="preserve">SLIDE, DIRECTIONAL </v>
          </cell>
          <cell r="R425" t="str">
            <v>4820</v>
          </cell>
          <cell r="S425" t="str">
            <v>015738759</v>
          </cell>
          <cell r="V425" t="str">
            <v>0000017931</v>
          </cell>
          <cell r="AJ425" t="str">
            <v xml:space="preserve">CEE8 </v>
          </cell>
        </row>
        <row r="426">
          <cell r="B426" t="str">
            <v xml:space="preserve">CES0 </v>
          </cell>
          <cell r="D426" t="str">
            <v>F</v>
          </cell>
          <cell r="E426" t="str">
            <v>8Z296</v>
          </cell>
          <cell r="F426" t="str">
            <v>157B2190</v>
          </cell>
          <cell r="L426" t="str">
            <v>VALVE,SAFETY RELIEF</v>
          </cell>
          <cell r="R426" t="str">
            <v/>
          </cell>
          <cell r="S426" t="str">
            <v/>
          </cell>
          <cell r="V426" t="str">
            <v>0000006983</v>
          </cell>
          <cell r="AJ426" t="str">
            <v xml:space="preserve">CEE8 </v>
          </cell>
        </row>
        <row r="427">
          <cell r="B427" t="str">
            <v xml:space="preserve">CEYW </v>
          </cell>
          <cell r="D427" t="str">
            <v>E</v>
          </cell>
          <cell r="E427" t="str">
            <v>24976</v>
          </cell>
          <cell r="F427" t="str">
            <v>157B2020</v>
          </cell>
          <cell r="L427" t="str">
            <v>BODY, SECTION, WORK</v>
          </cell>
          <cell r="R427" t="str">
            <v>4820</v>
          </cell>
          <cell r="S427" t="str">
            <v>016283945</v>
          </cell>
          <cell r="V427" t="str">
            <v>0000026794</v>
          </cell>
          <cell r="AJ427" t="str">
            <v xml:space="preserve">CA5G </v>
          </cell>
        </row>
        <row r="428">
          <cell r="B428" t="str">
            <v xml:space="preserve">CE4S </v>
          </cell>
          <cell r="D428" t="str">
            <v>E</v>
          </cell>
          <cell r="E428" t="str">
            <v>8Z296</v>
          </cell>
          <cell r="F428" t="str">
            <v>157B8005</v>
          </cell>
          <cell r="L428" t="str">
            <v>REPAIR KIT,VALVE</v>
          </cell>
          <cell r="R428" t="str">
            <v/>
          </cell>
          <cell r="S428" t="str">
            <v/>
          </cell>
          <cell r="V428" t="str">
            <v>0000007089</v>
          </cell>
          <cell r="AJ428" t="str">
            <v xml:space="preserve">CA5G </v>
          </cell>
        </row>
        <row r="429">
          <cell r="B429" t="str">
            <v xml:space="preserve">CFAN </v>
          </cell>
          <cell r="D429" t="str">
            <v>D</v>
          </cell>
          <cell r="E429" t="str">
            <v>01276</v>
          </cell>
          <cell r="F429" t="str">
            <v>202702-10-6S</v>
          </cell>
          <cell r="L429" t="str">
            <v>ADAPTER,STRAIGHT,TU</v>
          </cell>
          <cell r="R429" t="str">
            <v>4730</v>
          </cell>
          <cell r="S429" t="str">
            <v>006239673</v>
          </cell>
          <cell r="V429" t="str">
            <v>0000000200</v>
          </cell>
          <cell r="AJ429" t="str">
            <v xml:space="preserve">CAZL </v>
          </cell>
        </row>
        <row r="430">
          <cell r="B430" t="str">
            <v xml:space="preserve">CFGJ </v>
          </cell>
          <cell r="D430" t="str">
            <v>D</v>
          </cell>
          <cell r="E430" t="str">
            <v>01276</v>
          </cell>
          <cell r="F430" t="str">
            <v>C5315X8X12</v>
          </cell>
          <cell r="L430" t="str">
            <v>ADAPTER,STRAIGHT,TU</v>
          </cell>
          <cell r="R430" t="str">
            <v>4730</v>
          </cell>
          <cell r="S430" t="str">
            <v>009258039</v>
          </cell>
          <cell r="V430" t="str">
            <v>0000000322</v>
          </cell>
          <cell r="AJ430" t="str">
            <v xml:space="preserve">CAZL </v>
          </cell>
        </row>
        <row r="431">
          <cell r="B431" t="str">
            <v xml:space="preserve">CF52 </v>
          </cell>
          <cell r="D431" t="str">
            <v>D</v>
          </cell>
          <cell r="E431" t="str">
            <v>75Q65</v>
          </cell>
          <cell r="F431" t="str">
            <v>3KP468</v>
          </cell>
          <cell r="L431" t="str">
            <v>VALVE PLATE,HYDRAUL</v>
          </cell>
          <cell r="R431" t="str">
            <v>4320</v>
          </cell>
          <cell r="S431" t="str">
            <v>015133113</v>
          </cell>
          <cell r="V431" t="str">
            <v>0000010064</v>
          </cell>
          <cell r="AJ431" t="str">
            <v xml:space="preserve">CAZL </v>
          </cell>
        </row>
        <row r="432">
          <cell r="B432" t="str">
            <v xml:space="preserve">CGBY </v>
          </cell>
          <cell r="D432" t="str">
            <v>C</v>
          </cell>
          <cell r="E432" t="str">
            <v>0UJB5</v>
          </cell>
          <cell r="F432" t="str">
            <v>MIL-001-1543</v>
          </cell>
          <cell r="L432" t="str">
            <v>CONTROL BOX</v>
          </cell>
          <cell r="R432" t="str">
            <v/>
          </cell>
          <cell r="S432" t="str">
            <v/>
          </cell>
          <cell r="V432" t="str">
            <v>0000215000</v>
          </cell>
          <cell r="AJ432" t="str">
            <v xml:space="preserve">AAF6 </v>
          </cell>
        </row>
        <row r="433">
          <cell r="B433" t="str">
            <v xml:space="preserve">CGHU </v>
          </cell>
          <cell r="D433" t="str">
            <v>D</v>
          </cell>
          <cell r="E433" t="str">
            <v>0UJB5</v>
          </cell>
          <cell r="F433" t="str">
            <v>MIL-001-1140</v>
          </cell>
          <cell r="L433" t="str">
            <v xml:space="preserve">COVER,DISTRIBUTION </v>
          </cell>
          <cell r="R433" t="str">
            <v>6110</v>
          </cell>
          <cell r="S433" t="str">
            <v>016005374</v>
          </cell>
          <cell r="V433" t="str">
            <v>0000006519</v>
          </cell>
          <cell r="AJ433" t="str">
            <v xml:space="preserve">CGBY </v>
          </cell>
        </row>
        <row r="434">
          <cell r="B434" t="str">
            <v xml:space="preserve">CGPQ </v>
          </cell>
          <cell r="D434" t="str">
            <v>D</v>
          </cell>
          <cell r="E434" t="str">
            <v>75915</v>
          </cell>
          <cell r="F434" t="str">
            <v>166.7000.4756</v>
          </cell>
          <cell r="L434" t="str">
            <v>FUSE,INCLOSED LINK</v>
          </cell>
          <cell r="R434" t="str">
            <v>5920</v>
          </cell>
          <cell r="S434" t="str">
            <v>015695712</v>
          </cell>
          <cell r="V434" t="str">
            <v>0000000374</v>
          </cell>
          <cell r="AJ434" t="str">
            <v xml:space="preserve">CGBY </v>
          </cell>
        </row>
        <row r="435">
          <cell r="B435" t="str">
            <v xml:space="preserve">CGVL </v>
          </cell>
          <cell r="D435" t="str">
            <v>D</v>
          </cell>
          <cell r="E435" t="str">
            <v>0UJB5</v>
          </cell>
          <cell r="F435" t="str">
            <v>MIL-001-694</v>
          </cell>
          <cell r="L435" t="str">
            <v>CONTROL BOX</v>
          </cell>
          <cell r="R435" t="str">
            <v/>
          </cell>
          <cell r="S435" t="str">
            <v/>
          </cell>
          <cell r="V435" t="str">
            <v>0000200000</v>
          </cell>
          <cell r="AJ435" t="str">
            <v xml:space="preserve">CGBY </v>
          </cell>
        </row>
        <row r="436">
          <cell r="B436" t="str">
            <v xml:space="preserve">CG1G </v>
          </cell>
          <cell r="D436" t="str">
            <v>C</v>
          </cell>
          <cell r="E436" t="str">
            <v>0UJB5</v>
          </cell>
          <cell r="F436" t="str">
            <v>MIL-001-075</v>
          </cell>
          <cell r="L436" t="str">
            <v>CABLE ASSEMBLY,SPEC</v>
          </cell>
          <cell r="R436" t="str">
            <v>6150</v>
          </cell>
          <cell r="S436" t="str">
            <v>015668399</v>
          </cell>
          <cell r="V436" t="str">
            <v>0000046102</v>
          </cell>
          <cell r="AJ436" t="str">
            <v xml:space="preserve">AAF6 </v>
          </cell>
        </row>
        <row r="437">
          <cell r="B437" t="str">
            <v xml:space="preserve">CG7C </v>
          </cell>
          <cell r="D437" t="str">
            <v>C</v>
          </cell>
          <cell r="E437" t="str">
            <v>0UJB5</v>
          </cell>
          <cell r="F437" t="str">
            <v>MIL-001-649</v>
          </cell>
          <cell r="L437" t="str">
            <v>WIRING HARNESS</v>
          </cell>
          <cell r="R437" t="str">
            <v>6150</v>
          </cell>
          <cell r="S437" t="str">
            <v>016180259</v>
          </cell>
          <cell r="V437" t="str">
            <v>0000001500</v>
          </cell>
          <cell r="AJ437" t="str">
            <v xml:space="preserve">AAF6 </v>
          </cell>
        </row>
        <row r="438">
          <cell r="B438" t="str">
            <v xml:space="preserve">CHC8 </v>
          </cell>
          <cell r="D438" t="str">
            <v>C</v>
          </cell>
          <cell r="E438" t="str">
            <v>0UJB5</v>
          </cell>
          <cell r="F438" t="str">
            <v>MIL-001-073</v>
          </cell>
          <cell r="L438" t="str">
            <v>CONSOLE,UNIT,REMOTE</v>
          </cell>
          <cell r="R438" t="str">
            <v>2030</v>
          </cell>
          <cell r="S438" t="str">
            <v>015689343</v>
          </cell>
          <cell r="V438" t="str">
            <v>0000252300</v>
          </cell>
          <cell r="AJ438" t="str">
            <v xml:space="preserve">AAF6 </v>
          </cell>
        </row>
        <row r="439">
          <cell r="B439" t="str">
            <v xml:space="preserve">CHJ4 </v>
          </cell>
          <cell r="D439" t="str">
            <v>D</v>
          </cell>
          <cell r="E439" t="str">
            <v>0UJB5</v>
          </cell>
          <cell r="F439" t="str">
            <v>MIL-001-238</v>
          </cell>
          <cell r="L439" t="str">
            <v>STRAP,WEBBING</v>
          </cell>
          <cell r="R439" t="str">
            <v>5340</v>
          </cell>
          <cell r="S439" t="str">
            <v>015659295</v>
          </cell>
          <cell r="V439" t="str">
            <v>0000008686</v>
          </cell>
          <cell r="AJ439" t="str">
            <v xml:space="preserve">CHC8 </v>
          </cell>
        </row>
        <row r="440">
          <cell r="B440" t="str">
            <v xml:space="preserve">CHQ0 </v>
          </cell>
          <cell r="D440" t="str">
            <v>D</v>
          </cell>
          <cell r="E440" t="str">
            <v>0UJB5</v>
          </cell>
          <cell r="F440" t="str">
            <v>MIL-001-174</v>
          </cell>
          <cell r="L440" t="str">
            <v>KEY,SWITCH</v>
          </cell>
          <cell r="R440" t="str">
            <v>5930</v>
          </cell>
          <cell r="S440" t="str">
            <v>015662653</v>
          </cell>
          <cell r="V440" t="str">
            <v>0000006862</v>
          </cell>
          <cell r="AJ440" t="str">
            <v xml:space="preserve">CHC8 </v>
          </cell>
        </row>
        <row r="441">
          <cell r="B441" t="str">
            <v xml:space="preserve">CHWW </v>
          </cell>
          <cell r="D441" t="str">
            <v>D</v>
          </cell>
          <cell r="E441" t="str">
            <v>0UJB5</v>
          </cell>
          <cell r="F441" t="str">
            <v>MIL-001-532</v>
          </cell>
          <cell r="L441" t="str">
            <v>SWITCH,TOGGLE</v>
          </cell>
          <cell r="R441" t="str">
            <v>5930</v>
          </cell>
          <cell r="S441" t="str">
            <v>015660077</v>
          </cell>
          <cell r="V441" t="str">
            <v>0000024974</v>
          </cell>
          <cell r="AJ441" t="str">
            <v xml:space="preserve">CHC8 </v>
          </cell>
        </row>
        <row r="442">
          <cell r="B442" t="str">
            <v xml:space="preserve">CH2S </v>
          </cell>
          <cell r="D442" t="str">
            <v>D</v>
          </cell>
          <cell r="E442" t="str">
            <v>0UJB5</v>
          </cell>
          <cell r="F442" t="str">
            <v>MIL-001-721</v>
          </cell>
          <cell r="L442" t="str">
            <v>SEAL</v>
          </cell>
          <cell r="R442" t="str">
            <v/>
          </cell>
          <cell r="S442" t="str">
            <v/>
          </cell>
          <cell r="V442" t="str">
            <v>0000000399</v>
          </cell>
          <cell r="AJ442" t="str">
            <v xml:space="preserve">CHC8 </v>
          </cell>
        </row>
        <row r="443">
          <cell r="B443" t="str">
            <v xml:space="preserve">CH8N </v>
          </cell>
          <cell r="D443" t="str">
            <v>D</v>
          </cell>
          <cell r="E443" t="str">
            <v>0UJB5</v>
          </cell>
          <cell r="F443" t="str">
            <v>MIL-001-597</v>
          </cell>
          <cell r="L443" t="str">
            <v>SCREW,MACHINE</v>
          </cell>
          <cell r="R443" t="str">
            <v>5305</v>
          </cell>
          <cell r="S443" t="str">
            <v>015707543</v>
          </cell>
          <cell r="V443" t="str">
            <v>0000000180</v>
          </cell>
          <cell r="AJ443" t="str">
            <v xml:space="preserve">CHC8 </v>
          </cell>
        </row>
        <row r="444">
          <cell r="B444" t="str">
            <v xml:space="preserve">CJEJ </v>
          </cell>
          <cell r="D444" t="str">
            <v>D</v>
          </cell>
          <cell r="E444" t="str">
            <v>0UJB5</v>
          </cell>
          <cell r="F444" t="str">
            <v>MIL-001-598</v>
          </cell>
          <cell r="L444" t="str">
            <v>O-RING</v>
          </cell>
          <cell r="R444" t="str">
            <v>5331</v>
          </cell>
          <cell r="S444" t="str">
            <v>015702389</v>
          </cell>
          <cell r="V444" t="str">
            <v>0000000092</v>
          </cell>
          <cell r="AJ444" t="str">
            <v xml:space="preserve">CHC8 </v>
          </cell>
        </row>
        <row r="445">
          <cell r="B445" t="str">
            <v xml:space="preserve">CJLE </v>
          </cell>
          <cell r="D445" t="str">
            <v>D</v>
          </cell>
          <cell r="E445" t="str">
            <v>0UJB5</v>
          </cell>
          <cell r="F445" t="str">
            <v>MIL-001-599</v>
          </cell>
          <cell r="L445" t="str">
            <v>GASKET</v>
          </cell>
          <cell r="R445" t="str">
            <v>5330</v>
          </cell>
          <cell r="S445" t="str">
            <v>015659267</v>
          </cell>
          <cell r="V445" t="str">
            <v>0000001803</v>
          </cell>
          <cell r="AJ445" t="str">
            <v xml:space="preserve">CHC8 </v>
          </cell>
        </row>
        <row r="446">
          <cell r="B446" t="str">
            <v xml:space="preserve">CJSA </v>
          </cell>
          <cell r="D446" t="str">
            <v>D</v>
          </cell>
          <cell r="E446" t="str">
            <v>0UJB5</v>
          </cell>
          <cell r="F446" t="str">
            <v>MIL-001-600</v>
          </cell>
          <cell r="L446" t="str">
            <v>SCREW,MACHINE</v>
          </cell>
          <cell r="R446" t="str">
            <v>5305</v>
          </cell>
          <cell r="S446" t="str">
            <v>015702451</v>
          </cell>
          <cell r="V446" t="str">
            <v>0000000180</v>
          </cell>
          <cell r="AJ446" t="str">
            <v xml:space="preserve">CHC8 </v>
          </cell>
        </row>
        <row r="447">
          <cell r="B447" t="str">
            <v xml:space="preserve">CJX6 </v>
          </cell>
          <cell r="D447" t="str">
            <v>D</v>
          </cell>
          <cell r="E447" t="str">
            <v>0UJB5</v>
          </cell>
          <cell r="F447" t="str">
            <v>MIL-001-601</v>
          </cell>
          <cell r="L447" t="str">
            <v>WASHER,LOCK</v>
          </cell>
          <cell r="R447" t="str">
            <v>5310</v>
          </cell>
          <cell r="S447" t="str">
            <v>015643379</v>
          </cell>
          <cell r="V447" t="str">
            <v>0000000291</v>
          </cell>
          <cell r="AJ447" t="str">
            <v xml:space="preserve">CHC8 </v>
          </cell>
        </row>
        <row r="448">
          <cell r="B448" t="str">
            <v xml:space="preserve">CJ32 </v>
          </cell>
          <cell r="D448" t="str">
            <v>C</v>
          </cell>
          <cell r="E448" t="str">
            <v>0UJB5</v>
          </cell>
          <cell r="F448" t="str">
            <v>MIL-001-861</v>
          </cell>
          <cell r="L448" t="str">
            <v>BRACKET SET,ANGLE</v>
          </cell>
          <cell r="R448" t="str">
            <v>5340</v>
          </cell>
          <cell r="S448" t="str">
            <v>016180169</v>
          </cell>
          <cell r="V448" t="str">
            <v>0000056318</v>
          </cell>
          <cell r="AJ448" t="str">
            <v xml:space="preserve">AAF6 </v>
          </cell>
        </row>
        <row r="449">
          <cell r="B449" t="str">
            <v xml:space="preserve">CJ9Y </v>
          </cell>
          <cell r="D449" t="str">
            <v>C</v>
          </cell>
          <cell r="E449" t="str">
            <v>4C8S5</v>
          </cell>
          <cell r="F449" t="str">
            <v>870040</v>
          </cell>
          <cell r="L449" t="str">
            <v>VIDEO TERMINAL,MULT</v>
          </cell>
          <cell r="R449" t="str">
            <v>5820</v>
          </cell>
          <cell r="S449" t="str">
            <v>015689597</v>
          </cell>
          <cell r="V449" t="str">
            <v>0000266031</v>
          </cell>
          <cell r="AJ449" t="str">
            <v xml:space="preserve">AAF6 </v>
          </cell>
        </row>
        <row r="450">
          <cell r="B450" t="str">
            <v xml:space="preserve">CKFU </v>
          </cell>
          <cell r="D450" t="str">
            <v>C</v>
          </cell>
          <cell r="E450" t="str">
            <v>0UJB5</v>
          </cell>
          <cell r="F450" t="str">
            <v>MIL-001-1222</v>
          </cell>
          <cell r="L450" t="str">
            <v>PAN AND TILT ASSEMB</v>
          </cell>
          <cell r="R450" t="str">
            <v>5820</v>
          </cell>
          <cell r="S450" t="str">
            <v>016180190</v>
          </cell>
          <cell r="V450" t="str">
            <v>0000925918</v>
          </cell>
          <cell r="AJ450" t="str">
            <v xml:space="preserve">AAF6 </v>
          </cell>
        </row>
        <row r="451">
          <cell r="B451" t="str">
            <v xml:space="preserve">CKMQ </v>
          </cell>
          <cell r="D451" t="str">
            <v>C</v>
          </cell>
          <cell r="E451" t="str">
            <v>4C8S5</v>
          </cell>
          <cell r="F451" t="str">
            <v>501447</v>
          </cell>
          <cell r="L451" t="str">
            <v>BRACKET,MOUNTING</v>
          </cell>
          <cell r="R451" t="str">
            <v>5340</v>
          </cell>
          <cell r="S451" t="str">
            <v>016005368</v>
          </cell>
          <cell r="V451" t="str">
            <v>0000013893</v>
          </cell>
          <cell r="AJ451" t="str">
            <v xml:space="preserve">AAF6 </v>
          </cell>
        </row>
        <row r="452">
          <cell r="B452" t="str">
            <v xml:space="preserve">CKTL </v>
          </cell>
          <cell r="D452" t="str">
            <v>C</v>
          </cell>
          <cell r="E452" t="str">
            <v>0UJB5</v>
          </cell>
          <cell r="F452" t="str">
            <v>MIL-001-090</v>
          </cell>
          <cell r="L452" t="str">
            <v>CABLE ASSEMBLY,SPEC</v>
          </cell>
          <cell r="R452" t="str">
            <v>6150</v>
          </cell>
          <cell r="S452" t="str">
            <v>015645677</v>
          </cell>
          <cell r="V452" t="str">
            <v>0000025615</v>
          </cell>
          <cell r="AJ452" t="str">
            <v xml:space="preserve">AAF6 </v>
          </cell>
        </row>
        <row r="453">
          <cell r="B453" t="str">
            <v xml:space="preserve">CKZG </v>
          </cell>
          <cell r="D453" t="str">
            <v>C</v>
          </cell>
          <cell r="E453" t="str">
            <v>0UJB5</v>
          </cell>
          <cell r="F453" t="str">
            <v>MIL-001-1574</v>
          </cell>
          <cell r="L453" t="str">
            <v>CABLE ASSEMBLY,SPEC</v>
          </cell>
          <cell r="R453" t="str">
            <v/>
          </cell>
          <cell r="S453" t="str">
            <v/>
          </cell>
          <cell r="V453" t="str">
            <v>0000086163</v>
          </cell>
          <cell r="AJ453" t="str">
            <v xml:space="preserve">AAF6 </v>
          </cell>
        </row>
        <row r="454">
          <cell r="B454" t="str">
            <v xml:space="preserve">CK5C </v>
          </cell>
          <cell r="D454" t="str">
            <v>C</v>
          </cell>
          <cell r="E454" t="str">
            <v>0UJB5</v>
          </cell>
          <cell r="F454" t="str">
            <v>MIL-001-339</v>
          </cell>
          <cell r="L454" t="str">
            <v>CABLE ASSEMBLY,SPEC</v>
          </cell>
          <cell r="R454" t="str">
            <v>6150</v>
          </cell>
          <cell r="S454" t="str">
            <v>015645679</v>
          </cell>
          <cell r="V454" t="str">
            <v>0000079331</v>
          </cell>
          <cell r="AJ454" t="str">
            <v xml:space="preserve">AAF6 </v>
          </cell>
        </row>
        <row r="455">
          <cell r="B455" t="str">
            <v xml:space="preserve">CLA8 </v>
          </cell>
          <cell r="D455" t="str">
            <v>C</v>
          </cell>
          <cell r="E455" t="str">
            <v>0UJB5</v>
          </cell>
          <cell r="F455" t="str">
            <v>MIL-001-420</v>
          </cell>
          <cell r="L455" t="str">
            <v>SCREW,CAP,HEXAGON H</v>
          </cell>
          <cell r="R455" t="str">
            <v>5305</v>
          </cell>
          <cell r="S455" t="str">
            <v>015657188</v>
          </cell>
          <cell r="V455" t="str">
            <v>0000001565</v>
          </cell>
          <cell r="AJ455" t="str">
            <v xml:space="preserve">AAF6 </v>
          </cell>
        </row>
        <row r="456">
          <cell r="B456" t="str">
            <v xml:space="preserve">CLG4 </v>
          </cell>
          <cell r="D456" t="str">
            <v>C</v>
          </cell>
          <cell r="E456" t="str">
            <v>74545</v>
          </cell>
          <cell r="F456" t="str">
            <v>HBL11</v>
          </cell>
          <cell r="L456" t="str">
            <v>SWITCH,TOGGLE</v>
          </cell>
          <cell r="R456" t="str">
            <v>5930</v>
          </cell>
          <cell r="S456" t="str">
            <v>015659033</v>
          </cell>
          <cell r="V456" t="str">
            <v>0000000840</v>
          </cell>
          <cell r="AJ456" t="str">
            <v xml:space="preserve">AAF6 </v>
          </cell>
        </row>
        <row r="457">
          <cell r="B457" t="str">
            <v xml:space="preserve">CLN0 </v>
          </cell>
          <cell r="D457" t="str">
            <v>C</v>
          </cell>
          <cell r="E457" t="str">
            <v>4C8S5</v>
          </cell>
          <cell r="F457" t="str">
            <v>700356-17</v>
          </cell>
          <cell r="L457" t="str">
            <v>CABLE ASSEMBLY,SPEC</v>
          </cell>
          <cell r="R457" t="str">
            <v>6150</v>
          </cell>
          <cell r="S457" t="str">
            <v>015929129</v>
          </cell>
          <cell r="V457" t="str">
            <v>0000055688</v>
          </cell>
          <cell r="AJ457" t="str">
            <v xml:space="preserve">AAF6 </v>
          </cell>
        </row>
        <row r="458">
          <cell r="B458" t="str">
            <v xml:space="preserve">CLUW </v>
          </cell>
          <cell r="D458" t="str">
            <v>B</v>
          </cell>
          <cell r="E458" t="str">
            <v>19207</v>
          </cell>
          <cell r="F458" t="str">
            <v>12574289</v>
          </cell>
          <cell r="L458" t="str">
            <v>INSTALLATION KIT</v>
          </cell>
          <cell r="R458" t="str">
            <v/>
          </cell>
          <cell r="S458" t="str">
            <v/>
          </cell>
          <cell r="V458" t="str">
            <v>0000000001</v>
          </cell>
          <cell r="AJ458" t="str">
            <v xml:space="preserve">AAAA </v>
          </cell>
        </row>
        <row r="459">
          <cell r="B459" t="str">
            <v xml:space="preserve">CL0S </v>
          </cell>
          <cell r="D459" t="str">
            <v>C</v>
          </cell>
          <cell r="E459">
            <v>19207</v>
          </cell>
          <cell r="F459" t="str">
            <v>12574291</v>
          </cell>
          <cell r="L459" t="str">
            <v>BRACKET,ANGLE</v>
          </cell>
          <cell r="R459" t="str">
            <v>5340</v>
          </cell>
          <cell r="S459" t="str">
            <v>016291866</v>
          </cell>
          <cell r="V459" t="str">
            <v>0000005194</v>
          </cell>
          <cell r="AJ459" t="str">
            <v xml:space="preserve">CLUW </v>
          </cell>
        </row>
        <row r="460">
          <cell r="B460" t="str">
            <v xml:space="preserve">CL6N </v>
          </cell>
          <cell r="D460" t="str">
            <v>C</v>
          </cell>
          <cell r="E460" t="str">
            <v>39428</v>
          </cell>
          <cell r="F460" t="str">
            <v>90126A030</v>
          </cell>
          <cell r="L460" t="str">
            <v>WASHER,FLAT</v>
          </cell>
          <cell r="R460" t="str">
            <v>5310</v>
          </cell>
          <cell r="S460" t="str">
            <v>015296246</v>
          </cell>
          <cell r="V460" t="str">
            <v>0000000003</v>
          </cell>
          <cell r="AJ460" t="str">
            <v xml:space="preserve">CLUW </v>
          </cell>
        </row>
        <row r="461">
          <cell r="B461" t="str">
            <v xml:space="preserve">CMCJ </v>
          </cell>
          <cell r="D461" t="str">
            <v>C</v>
          </cell>
          <cell r="E461" t="str">
            <v>0Y3H3</v>
          </cell>
          <cell r="F461" t="str">
            <v>1133620</v>
          </cell>
          <cell r="L461" t="str">
            <v>WASHER,LOCK</v>
          </cell>
          <cell r="R461" t="str">
            <v>5310</v>
          </cell>
          <cell r="S461" t="str">
            <v>015835810</v>
          </cell>
          <cell r="V461" t="str">
            <v>0000000978</v>
          </cell>
          <cell r="AJ461" t="str">
            <v xml:space="preserve">CLUW </v>
          </cell>
        </row>
        <row r="462">
          <cell r="B462" t="str">
            <v xml:space="preserve">CMJE </v>
          </cell>
          <cell r="D462" t="str">
            <v>C</v>
          </cell>
          <cell r="E462" t="str">
            <v>39428</v>
          </cell>
          <cell r="F462" t="str">
            <v>91286A155</v>
          </cell>
          <cell r="L462" t="str">
            <v>SCREW,CAP,HEXAGON H</v>
          </cell>
          <cell r="R462" t="str">
            <v>5305</v>
          </cell>
          <cell r="S462" t="str">
            <v>014925872</v>
          </cell>
          <cell r="V462" t="str">
            <v>0000000016</v>
          </cell>
          <cell r="AJ462" t="str">
            <v xml:space="preserve">CLUW </v>
          </cell>
        </row>
        <row r="463">
          <cell r="B463" t="str">
            <v xml:space="preserve">CMQA </v>
          </cell>
          <cell r="D463" t="str">
            <v>C</v>
          </cell>
          <cell r="E463" t="str">
            <v>19207</v>
          </cell>
          <cell r="F463" t="str">
            <v>12574292</v>
          </cell>
          <cell r="L463" t="str">
            <v>PLATE, IDENTIFICATI</v>
          </cell>
          <cell r="R463" t="str">
            <v/>
          </cell>
          <cell r="S463" t="str">
            <v/>
          </cell>
          <cell r="V463" t="str">
            <v>0000002500</v>
          </cell>
          <cell r="AJ463" t="str">
            <v xml:space="preserve">CLUW </v>
          </cell>
        </row>
        <row r="464">
          <cell r="B464" t="str">
            <v xml:space="preserve">CMV6 </v>
          </cell>
          <cell r="D464" t="str">
            <v>C</v>
          </cell>
          <cell r="E464" t="str">
            <v>19207</v>
          </cell>
          <cell r="F464" t="str">
            <v>12574293</v>
          </cell>
          <cell r="L464" t="str">
            <v>BRACKET,VEHICULAR C</v>
          </cell>
          <cell r="R464" t="str">
            <v>2590</v>
          </cell>
          <cell r="S464" t="str">
            <v>016311275</v>
          </cell>
          <cell r="V464" t="str">
            <v>0000007500</v>
          </cell>
          <cell r="AJ464" t="str">
            <v xml:space="preserve">CLUW </v>
          </cell>
        </row>
        <row r="465">
          <cell r="B465" t="str">
            <v xml:space="preserve">CM12 </v>
          </cell>
          <cell r="D465" t="str">
            <v>D</v>
          </cell>
          <cell r="E465" t="str">
            <v>39428</v>
          </cell>
          <cell r="F465" t="str">
            <v>90126A031</v>
          </cell>
          <cell r="L465" t="str">
            <v>WASHER,FLAT</v>
          </cell>
          <cell r="R465" t="str">
            <v>5310</v>
          </cell>
          <cell r="S465" t="str">
            <v>015057694</v>
          </cell>
          <cell r="V465" t="str">
            <v>0000000004</v>
          </cell>
          <cell r="AJ465" t="str">
            <v xml:space="preserve">CMV6 </v>
          </cell>
        </row>
        <row r="466">
          <cell r="B466" t="str">
            <v xml:space="preserve">CM7Y </v>
          </cell>
          <cell r="D466" t="str">
            <v>D</v>
          </cell>
          <cell r="E466" t="str">
            <v>39428</v>
          </cell>
          <cell r="F466" t="str">
            <v>91102A760</v>
          </cell>
          <cell r="L466" t="str">
            <v>WASHER,LOCK</v>
          </cell>
          <cell r="R466" t="str">
            <v>5310</v>
          </cell>
          <cell r="S466" t="str">
            <v>015022934</v>
          </cell>
          <cell r="V466" t="str">
            <v>0000000008</v>
          </cell>
          <cell r="AJ466" t="str">
            <v xml:space="preserve">CMV6 </v>
          </cell>
        </row>
        <row r="467">
          <cell r="B467" t="str">
            <v xml:space="preserve">CNDU </v>
          </cell>
          <cell r="D467" t="str">
            <v>D</v>
          </cell>
          <cell r="E467" t="str">
            <v>0UJB5</v>
          </cell>
          <cell r="F467" t="str">
            <v>MIL-001-312</v>
          </cell>
          <cell r="L467" t="str">
            <v>SCREW,CAP,HEXAGON H</v>
          </cell>
          <cell r="R467" t="str">
            <v>5305</v>
          </cell>
          <cell r="S467" t="str">
            <v>015163393</v>
          </cell>
          <cell r="V467" t="str">
            <v>0000000045</v>
          </cell>
          <cell r="AJ467" t="str">
            <v xml:space="preserve">CMV6 </v>
          </cell>
        </row>
        <row r="468">
          <cell r="B468" t="str">
            <v xml:space="preserve">CNKQ </v>
          </cell>
          <cell r="D468" t="str">
            <v>D</v>
          </cell>
          <cell r="E468" t="str">
            <v>19207</v>
          </cell>
          <cell r="F468" t="str">
            <v>12574304</v>
          </cell>
          <cell r="L468" t="str">
            <v>BRACKET,VEHICULAR C</v>
          </cell>
          <cell r="R468" t="str">
            <v>2590</v>
          </cell>
          <cell r="S468" t="str">
            <v>016311274</v>
          </cell>
          <cell r="V468" t="str">
            <v>0000005500</v>
          </cell>
          <cell r="AJ468" t="str">
            <v xml:space="preserve">CMV6 </v>
          </cell>
        </row>
        <row r="469">
          <cell r="B469" t="str">
            <v xml:space="preserve">CNRL </v>
          </cell>
          <cell r="D469" t="str">
            <v>D</v>
          </cell>
          <cell r="E469" t="str">
            <v>19207</v>
          </cell>
          <cell r="F469" t="str">
            <v>12574317</v>
          </cell>
          <cell r="L469" t="str">
            <v>TUBING,NONMETALLIC</v>
          </cell>
          <cell r="R469" t="str">
            <v>4710</v>
          </cell>
          <cell r="S469" t="str">
            <v>016314273</v>
          </cell>
          <cell r="V469" t="str">
            <v>0000002000</v>
          </cell>
          <cell r="AJ469" t="str">
            <v xml:space="preserve">CMV6 </v>
          </cell>
        </row>
        <row r="470">
          <cell r="B470" t="str">
            <v xml:space="preserve">CNXG </v>
          </cell>
          <cell r="D470" t="str">
            <v>D</v>
          </cell>
          <cell r="E470" t="str">
            <v>2V507</v>
          </cell>
          <cell r="F470" t="str">
            <v>6157K16</v>
          </cell>
          <cell r="L470" t="str">
            <v>COLLAR,SHAFT</v>
          </cell>
          <cell r="R470" t="str">
            <v>3040</v>
          </cell>
          <cell r="S470" t="str">
            <v>016232488</v>
          </cell>
          <cell r="V470" t="str">
            <v>0000000397</v>
          </cell>
          <cell r="AJ470" t="str">
            <v xml:space="preserve">CMV6 </v>
          </cell>
        </row>
        <row r="471">
          <cell r="B471" t="str">
            <v xml:space="preserve">CN3C </v>
          </cell>
          <cell r="D471" t="str">
            <v>C</v>
          </cell>
          <cell r="E471" t="str">
            <v>19207</v>
          </cell>
          <cell r="F471" t="str">
            <v>12574295</v>
          </cell>
          <cell r="L471" t="str">
            <v>BRACKET,VEHICULAR C</v>
          </cell>
          <cell r="R471" t="str">
            <v>2590</v>
          </cell>
          <cell r="S471" t="str">
            <v>016311265</v>
          </cell>
          <cell r="V471" t="str">
            <v>0000037500</v>
          </cell>
          <cell r="AJ471" t="str">
            <v xml:space="preserve">CLUW </v>
          </cell>
        </row>
        <row r="472">
          <cell r="B472" t="str">
            <v xml:space="preserve">CN88 </v>
          </cell>
          <cell r="D472" t="str">
            <v>C</v>
          </cell>
          <cell r="E472" t="str">
            <v>19207</v>
          </cell>
          <cell r="F472" t="str">
            <v>12574296</v>
          </cell>
          <cell r="L472" t="str">
            <v>BRACKET,MOUNTING</v>
          </cell>
          <cell r="R472" t="str">
            <v>2510</v>
          </cell>
          <cell r="S472" t="str">
            <v>016311277</v>
          </cell>
          <cell r="V472" t="str">
            <v>0000007500</v>
          </cell>
          <cell r="AJ472" t="str">
            <v xml:space="preserve">CLUW </v>
          </cell>
        </row>
        <row r="473">
          <cell r="B473" t="str">
            <v xml:space="preserve">CPE4 </v>
          </cell>
          <cell r="D473" t="str">
            <v>C</v>
          </cell>
          <cell r="E473" t="str">
            <v>39428</v>
          </cell>
          <cell r="F473" t="str">
            <v>90126A033</v>
          </cell>
          <cell r="L473" t="str">
            <v>WASHER,FLAT</v>
          </cell>
          <cell r="R473" t="str">
            <v>5310</v>
          </cell>
          <cell r="S473" t="str">
            <v>015088932</v>
          </cell>
          <cell r="V473" t="str">
            <v>0000000006</v>
          </cell>
          <cell r="AJ473" t="str">
            <v xml:space="preserve">CLUW </v>
          </cell>
        </row>
        <row r="474">
          <cell r="B474" t="str">
            <v xml:space="preserve">CPL0 </v>
          </cell>
          <cell r="D474" t="str">
            <v>C</v>
          </cell>
          <cell r="E474" t="str">
            <v>39428</v>
          </cell>
          <cell r="F474" t="str">
            <v>91102A770</v>
          </cell>
          <cell r="L474" t="str">
            <v>WASHER,LOCK</v>
          </cell>
          <cell r="R474" t="str">
            <v>5310</v>
          </cell>
          <cell r="S474" t="str">
            <v>015335500</v>
          </cell>
          <cell r="V474" t="str">
            <v>0000000012</v>
          </cell>
          <cell r="AJ474" t="str">
            <v xml:space="preserve">CLUW </v>
          </cell>
        </row>
        <row r="475">
          <cell r="B475" t="str">
            <v xml:space="preserve">CPSW </v>
          </cell>
          <cell r="D475" t="str">
            <v>C</v>
          </cell>
          <cell r="E475" t="str">
            <v>2V507</v>
          </cell>
          <cell r="F475" t="str">
            <v>91286A330</v>
          </cell>
          <cell r="L475" t="str">
            <v>SCREW,CAP,HEXAGON H</v>
          </cell>
          <cell r="R475" t="str">
            <v>5305</v>
          </cell>
          <cell r="S475" t="str">
            <v>015169268</v>
          </cell>
          <cell r="V475" t="str">
            <v>0000000435</v>
          </cell>
          <cell r="AJ475" t="str">
            <v xml:space="preserve">CLUW </v>
          </cell>
        </row>
        <row r="476">
          <cell r="B476" t="str">
            <v xml:space="preserve">CPYS </v>
          </cell>
          <cell r="D476" t="str">
            <v>C</v>
          </cell>
          <cell r="E476" t="str">
            <v>56161</v>
          </cell>
          <cell r="F476" t="str">
            <v>10502900</v>
          </cell>
          <cell r="L476" t="str">
            <v>WASHER,FLAT</v>
          </cell>
          <cell r="R476" t="str">
            <v>5310</v>
          </cell>
          <cell r="S476" t="str">
            <v>011671952</v>
          </cell>
          <cell r="V476" t="str">
            <v>0000000020</v>
          </cell>
          <cell r="AJ476" t="str">
            <v xml:space="preserve">CLUW </v>
          </cell>
        </row>
        <row r="477">
          <cell r="B477" t="str">
            <v xml:space="preserve">CP4N </v>
          </cell>
          <cell r="D477" t="str">
            <v>C</v>
          </cell>
          <cell r="E477" t="str">
            <v>0Y3H3</v>
          </cell>
          <cell r="F477" t="str">
            <v>11342256</v>
          </cell>
          <cell r="L477" t="str">
            <v>SCREW,CAP,HEXAGON H</v>
          </cell>
          <cell r="R477" t="str">
            <v>5305</v>
          </cell>
          <cell r="S477" t="str">
            <v>016270804</v>
          </cell>
          <cell r="V477" t="str">
            <v>0000002027</v>
          </cell>
          <cell r="AJ477" t="str">
            <v xml:space="preserve">CLUW </v>
          </cell>
        </row>
        <row r="478">
          <cell r="B478" t="str">
            <v xml:space="preserve">CQAJ </v>
          </cell>
          <cell r="D478" t="str">
            <v>C</v>
          </cell>
          <cell r="E478" t="str">
            <v>1YHH8</v>
          </cell>
          <cell r="F478" t="str">
            <v>8307104</v>
          </cell>
          <cell r="L478" t="str">
            <v>WASHER,FLAT,3.4</v>
          </cell>
          <cell r="R478" t="str">
            <v>5310</v>
          </cell>
          <cell r="S478" t="str">
            <v>015038762</v>
          </cell>
          <cell r="V478" t="str">
            <v>0000000050</v>
          </cell>
          <cell r="AJ478" t="str">
            <v xml:space="preserve">CLUW </v>
          </cell>
        </row>
        <row r="479">
          <cell r="B479" t="str">
            <v xml:space="preserve">CQGE </v>
          </cell>
          <cell r="D479" t="str">
            <v>C</v>
          </cell>
          <cell r="E479" t="str">
            <v>39428</v>
          </cell>
          <cell r="F479" t="str">
            <v>91102A036</v>
          </cell>
          <cell r="L479" t="str">
            <v>WASHER,LOCK</v>
          </cell>
          <cell r="R479" t="str">
            <v>5310</v>
          </cell>
          <cell r="S479" t="str">
            <v>015333410</v>
          </cell>
          <cell r="V479" t="str">
            <v>0000000050</v>
          </cell>
          <cell r="AJ479" t="str">
            <v xml:space="preserve">CLUW </v>
          </cell>
        </row>
        <row r="480">
          <cell r="B480" t="str">
            <v xml:space="preserve">CQNA </v>
          </cell>
          <cell r="D480" t="str">
            <v>C</v>
          </cell>
          <cell r="E480" t="str">
            <v>338X5</v>
          </cell>
          <cell r="F480" t="str">
            <v>3912753C1</v>
          </cell>
          <cell r="L480" t="str">
            <v>NUT,PLAIN,HEXAGON</v>
          </cell>
          <cell r="R480" t="str">
            <v>5310</v>
          </cell>
          <cell r="S480" t="str">
            <v>016059874</v>
          </cell>
          <cell r="V480" t="str">
            <v>0000000175</v>
          </cell>
          <cell r="AJ480" t="str">
            <v xml:space="preserve">CLUW </v>
          </cell>
        </row>
        <row r="481">
          <cell r="B481" t="str">
            <v xml:space="preserve">CQT6 </v>
          </cell>
          <cell r="D481" t="str">
            <v>C</v>
          </cell>
          <cell r="E481" t="str">
            <v>39428</v>
          </cell>
          <cell r="F481" t="str">
            <v>91286A477</v>
          </cell>
          <cell r="L481" t="str">
            <v>SCREW,CAP,HEXAGON H</v>
          </cell>
          <cell r="R481" t="str">
            <v/>
          </cell>
          <cell r="S481" t="str">
            <v/>
          </cell>
          <cell r="V481" t="str">
            <v>0000000770</v>
          </cell>
          <cell r="AJ481" t="str">
            <v xml:space="preserve">CLUW </v>
          </cell>
        </row>
        <row r="482">
          <cell r="B482" t="str">
            <v xml:space="preserve">CQZ2 </v>
          </cell>
          <cell r="D482" t="str">
            <v>C</v>
          </cell>
          <cell r="E482" t="str">
            <v>19207</v>
          </cell>
          <cell r="F482" t="str">
            <v>12574297</v>
          </cell>
          <cell r="L482" t="str">
            <v>SPACER,PLATE</v>
          </cell>
          <cell r="R482" t="str">
            <v>5365</v>
          </cell>
          <cell r="S482" t="str">
            <v>016298399</v>
          </cell>
          <cell r="V482" t="str">
            <v>0000003116</v>
          </cell>
          <cell r="AJ482" t="str">
            <v xml:space="preserve">CLUW </v>
          </cell>
        </row>
        <row r="483">
          <cell r="B483" t="str">
            <v xml:space="preserve">CQ5Y </v>
          </cell>
          <cell r="D483" t="str">
            <v>C</v>
          </cell>
          <cell r="E483" t="str">
            <v>39428</v>
          </cell>
          <cell r="F483" t="str">
            <v>90185A589</v>
          </cell>
          <cell r="L483" t="str">
            <v>BOLT,SQUARE NECK</v>
          </cell>
          <cell r="R483" t="str">
            <v>5306</v>
          </cell>
          <cell r="S483" t="str">
            <v>015973318</v>
          </cell>
          <cell r="V483" t="str">
            <v>0000000027</v>
          </cell>
          <cell r="AJ483" t="str">
            <v xml:space="preserve">CLUW </v>
          </cell>
        </row>
        <row r="484">
          <cell r="B484" t="str">
            <v xml:space="preserve">CRPL </v>
          </cell>
          <cell r="D484" t="str">
            <v>C</v>
          </cell>
          <cell r="E484" t="str">
            <v>0UJB5</v>
          </cell>
          <cell r="F484" t="str">
            <v>MIL-001-337</v>
          </cell>
          <cell r="L484" t="str">
            <v>NUT,PLAIN,HEXAGON</v>
          </cell>
          <cell r="R484" t="str">
            <v>5310</v>
          </cell>
          <cell r="S484" t="str">
            <v>016005905</v>
          </cell>
          <cell r="V484" t="str">
            <v>0000000016</v>
          </cell>
          <cell r="AJ484" t="str">
            <v xml:space="preserve">CLUW </v>
          </cell>
        </row>
        <row r="485">
          <cell r="B485" t="str">
            <v xml:space="preserve">CRVG </v>
          </cell>
          <cell r="D485" t="str">
            <v>C</v>
          </cell>
          <cell r="E485" t="str">
            <v>19207</v>
          </cell>
          <cell r="F485" t="str">
            <v>12574298</v>
          </cell>
          <cell r="L485" t="str">
            <v>COVER,ELECTRICAL SW</v>
          </cell>
          <cell r="R485" t="str">
            <v>5930</v>
          </cell>
          <cell r="S485" t="str">
            <v>016312254</v>
          </cell>
          <cell r="V485" t="str">
            <v>0000004500</v>
          </cell>
          <cell r="AJ485" t="str">
            <v xml:space="preserve">CLUW </v>
          </cell>
        </row>
        <row r="486">
          <cell r="B486" t="str">
            <v xml:space="preserve">CR1C </v>
          </cell>
          <cell r="D486" t="str">
            <v>C</v>
          </cell>
          <cell r="E486" t="str">
            <v>19207</v>
          </cell>
          <cell r="F486" t="str">
            <v>12574299</v>
          </cell>
          <cell r="L486" t="str">
            <v>COVER,INTERCONNECTI</v>
          </cell>
          <cell r="R486" t="str">
            <v>5975</v>
          </cell>
          <cell r="S486" t="str">
            <v>016312263</v>
          </cell>
          <cell r="V486" t="str">
            <v>0000007500</v>
          </cell>
          <cell r="AJ486" t="str">
            <v xml:space="preserve">CLUW </v>
          </cell>
        </row>
        <row r="487">
          <cell r="B487" t="str">
            <v xml:space="preserve">CR68 </v>
          </cell>
          <cell r="D487" t="str">
            <v>C</v>
          </cell>
          <cell r="E487" t="str">
            <v>39428</v>
          </cell>
          <cell r="F487" t="str">
            <v>9217K55</v>
          </cell>
          <cell r="L487" t="str">
            <v>MOUNT,RESILIENT,GEN</v>
          </cell>
          <cell r="R487" t="str">
            <v/>
          </cell>
          <cell r="S487" t="str">
            <v/>
          </cell>
          <cell r="V487" t="str">
            <v>0000000517</v>
          </cell>
          <cell r="AJ487" t="str">
            <v xml:space="preserve">CLUW </v>
          </cell>
        </row>
        <row r="488">
          <cell r="B488" t="str">
            <v xml:space="preserve">CSC4 </v>
          </cell>
          <cell r="D488" t="str">
            <v>C</v>
          </cell>
          <cell r="E488" t="str">
            <v>39428</v>
          </cell>
          <cell r="F488" t="str">
            <v>90096A550</v>
          </cell>
          <cell r="L488" t="str">
            <v>SCREW,TAPPING</v>
          </cell>
          <cell r="R488" t="str">
            <v>5305</v>
          </cell>
          <cell r="S488" t="str">
            <v>016297959</v>
          </cell>
          <cell r="V488" t="str">
            <v>0000001037</v>
          </cell>
          <cell r="AJ488" t="str">
            <v xml:space="preserve">CLUW </v>
          </cell>
        </row>
        <row r="489">
          <cell r="B489" t="str">
            <v xml:space="preserve">CSJ0 </v>
          </cell>
          <cell r="D489" t="str">
            <v>C</v>
          </cell>
          <cell r="E489" t="str">
            <v>0Y3H3</v>
          </cell>
          <cell r="F489" t="str">
            <v>37573</v>
          </cell>
          <cell r="L489" t="str">
            <v>NUT,SELF-LOCKING,HE</v>
          </cell>
          <cell r="R489" t="str">
            <v>5310</v>
          </cell>
          <cell r="S489" t="str">
            <v>016005350</v>
          </cell>
          <cell r="V489" t="str">
            <v>0000000014</v>
          </cell>
          <cell r="AJ489" t="str">
            <v xml:space="preserve">CLUW </v>
          </cell>
        </row>
        <row r="490">
          <cell r="B490" t="str">
            <v xml:space="preserve">CSQW </v>
          </cell>
          <cell r="D490" t="str">
            <v>C</v>
          </cell>
          <cell r="E490" t="str">
            <v>0Y3H3</v>
          </cell>
          <cell r="F490" t="str">
            <v>1140358</v>
          </cell>
          <cell r="L490" t="str">
            <v>WASHER,FLAT</v>
          </cell>
          <cell r="R490" t="str">
            <v>5310</v>
          </cell>
          <cell r="S490" t="str">
            <v>015787473</v>
          </cell>
          <cell r="V490" t="str">
            <v>0000000008</v>
          </cell>
          <cell r="AJ490" t="str">
            <v xml:space="preserve">CLUW </v>
          </cell>
        </row>
        <row r="491">
          <cell r="B491" t="str">
            <v xml:space="preserve">CSWS </v>
          </cell>
          <cell r="D491" t="str">
            <v>C</v>
          </cell>
          <cell r="E491" t="str">
            <v>39428</v>
          </cell>
          <cell r="F491" t="str">
            <v>94645A220</v>
          </cell>
          <cell r="L491" t="str">
            <v>NUT,SELF-LOCKING,HE</v>
          </cell>
          <cell r="R491" t="str">
            <v>5310</v>
          </cell>
          <cell r="S491" t="str">
            <v>016236056</v>
          </cell>
          <cell r="V491" t="str">
            <v>0000000045</v>
          </cell>
          <cell r="AJ491" t="str">
            <v xml:space="preserve">CLUW </v>
          </cell>
        </row>
        <row r="492">
          <cell r="B492" t="str">
            <v xml:space="preserve">CS2N </v>
          </cell>
          <cell r="D492" t="str">
            <v>C</v>
          </cell>
          <cell r="E492" t="str">
            <v>19207</v>
          </cell>
          <cell r="F492" t="str">
            <v>12574300</v>
          </cell>
          <cell r="L492" t="str">
            <v>BRACKET,VEHICULAR C</v>
          </cell>
          <cell r="R492" t="str">
            <v>2590</v>
          </cell>
          <cell r="S492" t="str">
            <v>016311769</v>
          </cell>
          <cell r="V492" t="str">
            <v>0000035000</v>
          </cell>
          <cell r="AJ492" t="str">
            <v xml:space="preserve">CLUW </v>
          </cell>
        </row>
        <row r="493">
          <cell r="B493" t="str">
            <v xml:space="preserve">CS8J </v>
          </cell>
          <cell r="D493" t="str">
            <v>D</v>
          </cell>
          <cell r="E493" t="str">
            <v>19207</v>
          </cell>
          <cell r="F493" t="str">
            <v>12574301</v>
          </cell>
          <cell r="L493" t="str">
            <v>BRACKET,VEHICULAR C</v>
          </cell>
          <cell r="R493" t="str">
            <v>2590</v>
          </cell>
          <cell r="S493" t="str">
            <v>016311269</v>
          </cell>
          <cell r="V493" t="str">
            <v>0000015000</v>
          </cell>
          <cell r="AJ493" t="str">
            <v xml:space="preserve">CS2N </v>
          </cell>
        </row>
        <row r="494">
          <cell r="B494" t="str">
            <v xml:space="preserve">CTEE </v>
          </cell>
          <cell r="D494" t="str">
            <v>D</v>
          </cell>
          <cell r="E494" t="str">
            <v>19207</v>
          </cell>
          <cell r="F494" t="str">
            <v>12574302</v>
          </cell>
          <cell r="L494" t="str">
            <v>BRACKET,VEHICULAR C</v>
          </cell>
          <cell r="R494" t="str">
            <v>2590</v>
          </cell>
          <cell r="S494" t="str">
            <v>016311262</v>
          </cell>
          <cell r="V494" t="str">
            <v>0000012500</v>
          </cell>
          <cell r="AJ494" t="str">
            <v xml:space="preserve">CS2N </v>
          </cell>
        </row>
        <row r="495">
          <cell r="B495" t="str">
            <v xml:space="preserve">CTLA </v>
          </cell>
          <cell r="D495" t="str">
            <v>D</v>
          </cell>
          <cell r="E495" t="str">
            <v>19207</v>
          </cell>
          <cell r="F495" t="str">
            <v>12574325</v>
          </cell>
          <cell r="L495" t="str">
            <v>SPACER,PLATE</v>
          </cell>
          <cell r="R495" t="str">
            <v>5365</v>
          </cell>
          <cell r="S495" t="str">
            <v>016292676</v>
          </cell>
          <cell r="V495" t="str">
            <v>0000001558</v>
          </cell>
          <cell r="AJ495" t="str">
            <v xml:space="preserve">CS2N </v>
          </cell>
        </row>
        <row r="496">
          <cell r="B496" t="str">
            <v xml:space="preserve">CTR6 </v>
          </cell>
          <cell r="D496" t="str">
            <v>D</v>
          </cell>
          <cell r="E496" t="str">
            <v>19207</v>
          </cell>
          <cell r="F496" t="str">
            <v>12574326</v>
          </cell>
          <cell r="L496" t="str">
            <v>PLATE,MOUNTING</v>
          </cell>
          <cell r="R496" t="str">
            <v>5340</v>
          </cell>
          <cell r="S496" t="str">
            <v>016291831</v>
          </cell>
          <cell r="V496" t="str">
            <v>0000001039</v>
          </cell>
          <cell r="AJ496" t="str">
            <v xml:space="preserve">CS2N </v>
          </cell>
        </row>
        <row r="497">
          <cell r="B497" t="str">
            <v xml:space="preserve">CTX2 </v>
          </cell>
          <cell r="D497" t="str">
            <v>D</v>
          </cell>
          <cell r="E497" t="str">
            <v>19207</v>
          </cell>
          <cell r="F497" t="str">
            <v>12574327</v>
          </cell>
          <cell r="L497" t="str">
            <v>COVER,ACCESS</v>
          </cell>
          <cell r="R497" t="str">
            <v>5340</v>
          </cell>
          <cell r="S497" t="str">
            <v>016295403</v>
          </cell>
          <cell r="V497" t="str">
            <v>0000001558</v>
          </cell>
          <cell r="AJ497" t="str">
            <v xml:space="preserve">CS2N </v>
          </cell>
        </row>
        <row r="498">
          <cell r="B498" t="str">
            <v xml:space="preserve">CT3Y </v>
          </cell>
          <cell r="D498" t="str">
            <v>D</v>
          </cell>
          <cell r="E498" t="str">
            <v>39428</v>
          </cell>
          <cell r="F498" t="str">
            <v>90096A550</v>
          </cell>
          <cell r="L498" t="str">
            <v>SCREW,TAPPING</v>
          </cell>
          <cell r="R498" t="str">
            <v>5305</v>
          </cell>
          <cell r="S498" t="str">
            <v>016297959</v>
          </cell>
          <cell r="V498" t="str">
            <v>0000001037</v>
          </cell>
          <cell r="AJ498" t="str">
            <v xml:space="preserve">CS2N </v>
          </cell>
        </row>
        <row r="499">
          <cell r="B499" t="str">
            <v xml:space="preserve">CT9U </v>
          </cell>
          <cell r="D499" t="str">
            <v>D</v>
          </cell>
          <cell r="E499" t="str">
            <v>1EFH8</v>
          </cell>
          <cell r="F499" t="str">
            <v>10001913</v>
          </cell>
          <cell r="L499" t="str">
            <v>PIN,QUICK RELEASE</v>
          </cell>
          <cell r="R499" t="str">
            <v>5315</v>
          </cell>
          <cell r="S499" t="str">
            <v>015290802</v>
          </cell>
          <cell r="V499" t="str">
            <v>0000000653</v>
          </cell>
          <cell r="AJ499" t="str">
            <v xml:space="preserve">CS2N </v>
          </cell>
        </row>
        <row r="500">
          <cell r="B500" t="str">
            <v xml:space="preserve">CUFQ </v>
          </cell>
          <cell r="D500" t="str">
            <v>D</v>
          </cell>
          <cell r="E500" t="str">
            <v>39428</v>
          </cell>
          <cell r="F500" t="str">
            <v>91286A318</v>
          </cell>
          <cell r="L500" t="str">
            <v>SCREW,CAP,HEXAGON H</v>
          </cell>
          <cell r="R500" t="str">
            <v/>
          </cell>
          <cell r="S500" t="str">
            <v/>
          </cell>
          <cell r="V500" t="str">
            <v>0000000088</v>
          </cell>
          <cell r="AJ500" t="str">
            <v xml:space="preserve">CS2N </v>
          </cell>
        </row>
        <row r="501">
          <cell r="B501" t="str">
            <v xml:space="preserve">CUML </v>
          </cell>
          <cell r="D501" t="str">
            <v>D</v>
          </cell>
          <cell r="E501" t="str">
            <v>39428</v>
          </cell>
          <cell r="F501" t="str">
            <v>91102A770</v>
          </cell>
          <cell r="L501" t="str">
            <v>WASHER,LOCK</v>
          </cell>
          <cell r="R501" t="str">
            <v>5310</v>
          </cell>
          <cell r="S501" t="str">
            <v>015335500</v>
          </cell>
          <cell r="V501" t="str">
            <v>0000000012</v>
          </cell>
          <cell r="AJ501" t="str">
            <v xml:space="preserve">CS2N </v>
          </cell>
        </row>
        <row r="502">
          <cell r="B502" t="str">
            <v xml:space="preserve">CUTG </v>
          </cell>
          <cell r="D502" t="str">
            <v>D</v>
          </cell>
          <cell r="E502" t="str">
            <v>84256</v>
          </cell>
          <cell r="F502" t="str">
            <v>LT1504-C8-10</v>
          </cell>
          <cell r="L502" t="str">
            <v>WIRE ROPE ASSEMBLY,</v>
          </cell>
          <cell r="R502" t="str">
            <v>4010</v>
          </cell>
          <cell r="S502" t="str">
            <v>011666259</v>
          </cell>
          <cell r="V502" t="str">
            <v>0000000309</v>
          </cell>
          <cell r="AJ502" t="str">
            <v xml:space="preserve">CS2N </v>
          </cell>
        </row>
        <row r="503">
          <cell r="B503" t="str">
            <v xml:space="preserve">CUZC </v>
          </cell>
          <cell r="D503" t="str">
            <v>D</v>
          </cell>
          <cell r="E503" t="str">
            <v>39428</v>
          </cell>
          <cell r="F503" t="str">
            <v>91263A559</v>
          </cell>
          <cell r="L503" t="str">
            <v>SCREW,CAP,SOCKET HE</v>
          </cell>
          <cell r="R503" t="str">
            <v>5305</v>
          </cell>
          <cell r="S503" t="str">
            <v>015802864</v>
          </cell>
          <cell r="V503" t="str">
            <v>0000000048</v>
          </cell>
          <cell r="AJ503" t="str">
            <v xml:space="preserve">CS2N </v>
          </cell>
        </row>
        <row r="504">
          <cell r="B504" t="str">
            <v xml:space="preserve">CU48 </v>
          </cell>
          <cell r="D504" t="str">
            <v>C</v>
          </cell>
          <cell r="E504" t="str">
            <v>39428</v>
          </cell>
          <cell r="F504" t="str">
            <v>16055T267</v>
          </cell>
          <cell r="L504" t="str">
            <v>LABEL</v>
          </cell>
          <cell r="R504" t="str">
            <v/>
          </cell>
          <cell r="S504" t="str">
            <v/>
          </cell>
          <cell r="V504" t="str">
            <v>0000000110</v>
          </cell>
          <cell r="AJ504" t="str">
            <v xml:space="preserve">CLUW </v>
          </cell>
        </row>
        <row r="505">
          <cell r="B505" t="str">
            <v xml:space="preserve">CVA4 </v>
          </cell>
          <cell r="D505" t="str">
            <v>C</v>
          </cell>
          <cell r="E505" t="str">
            <v>39428</v>
          </cell>
          <cell r="F505" t="str">
            <v>7840K73</v>
          </cell>
          <cell r="L505" t="str">
            <v>CONDUIT,NONMETALLIC</v>
          </cell>
          <cell r="R505" t="str">
            <v/>
          </cell>
          <cell r="S505" t="str">
            <v/>
          </cell>
          <cell r="V505" t="str">
            <v>0000001080</v>
          </cell>
          <cell r="AJ505" t="str">
            <v xml:space="preserve">CLUW </v>
          </cell>
        </row>
        <row r="506">
          <cell r="B506" t="str">
            <v xml:space="preserve">CVG0 </v>
          </cell>
          <cell r="D506" t="str">
            <v>C</v>
          </cell>
          <cell r="E506" t="str">
            <v>81343</v>
          </cell>
          <cell r="F506" t="str">
            <v>M81914/8-2107</v>
          </cell>
          <cell r="L506" t="str">
            <v>INSULATION SLEEVING</v>
          </cell>
          <cell r="R506" t="str">
            <v>5970</v>
          </cell>
          <cell r="S506" t="str">
            <v>016005875</v>
          </cell>
          <cell r="V506" t="str">
            <v>0000005360</v>
          </cell>
          <cell r="AJ506" t="str">
            <v xml:space="preserve">CLUW </v>
          </cell>
        </row>
        <row r="507">
          <cell r="B507" t="str">
            <v xml:space="preserve">CVNW </v>
          </cell>
          <cell r="D507" t="str">
            <v>C</v>
          </cell>
          <cell r="E507" t="str">
            <v>0N0N0</v>
          </cell>
          <cell r="F507" t="str">
            <v>99-5050</v>
          </cell>
          <cell r="L507" t="str">
            <v>FILTER CLEANER SERV</v>
          </cell>
          <cell r="R507" t="str">
            <v>2945</v>
          </cell>
          <cell r="S507" t="str">
            <v>015120412</v>
          </cell>
          <cell r="V507" t="str">
            <v>0000001260</v>
          </cell>
          <cell r="AJ507" t="str">
            <v xml:space="preserve">CLUW </v>
          </cell>
        </row>
        <row r="508">
          <cell r="B508" t="str">
            <v xml:space="preserve">CVUS </v>
          </cell>
          <cell r="D508" t="str">
            <v>C</v>
          </cell>
          <cell r="E508" t="str">
            <v>06383</v>
          </cell>
          <cell r="F508" t="str">
            <v>PLT4H-CO</v>
          </cell>
          <cell r="L508" t="str">
            <v>STRAP,TIEDOWN,ELECT</v>
          </cell>
          <cell r="R508" t="str">
            <v>5975</v>
          </cell>
          <cell r="S508" t="str">
            <v>016210999</v>
          </cell>
          <cell r="V508" t="str">
            <v>0000000591</v>
          </cell>
          <cell r="AJ508" t="str">
            <v xml:space="preserve">CLUW </v>
          </cell>
        </row>
        <row r="509">
          <cell r="B509" t="str">
            <v xml:space="preserve">CV0N </v>
          </cell>
          <cell r="D509" t="str">
            <v>C</v>
          </cell>
          <cell r="E509" t="str">
            <v>06383</v>
          </cell>
          <cell r="F509" t="str">
            <v>PLT4H-TL</v>
          </cell>
          <cell r="L509" t="str">
            <v>STRAP,TIEDOWN,ELECT</v>
          </cell>
          <cell r="R509" t="str">
            <v>5340</v>
          </cell>
          <cell r="S509" t="str">
            <v>013531256</v>
          </cell>
          <cell r="V509" t="str">
            <v>0000000676</v>
          </cell>
          <cell r="AJ509" t="str">
            <v xml:space="preserve">CLUW </v>
          </cell>
        </row>
        <row r="510">
          <cell r="B510" t="str">
            <v xml:space="preserve">CV6J </v>
          </cell>
          <cell r="D510" t="str">
            <v>C</v>
          </cell>
          <cell r="E510" t="str">
            <v>06383</v>
          </cell>
          <cell r="F510" t="str">
            <v>PLT2I-C0</v>
          </cell>
          <cell r="L510" t="str">
            <v>STRAP,TIEDOWN,ELECT</v>
          </cell>
          <cell r="R510" t="str">
            <v>5975</v>
          </cell>
          <cell r="S510" t="str">
            <v>011107686</v>
          </cell>
          <cell r="V510" t="str">
            <v>0000000149</v>
          </cell>
          <cell r="AJ510" t="str">
            <v xml:space="preserve">CLUW </v>
          </cell>
        </row>
        <row r="511">
          <cell r="B511" t="str">
            <v xml:space="preserve">CWCE </v>
          </cell>
          <cell r="D511" t="str">
            <v>C</v>
          </cell>
          <cell r="E511" t="str">
            <v>75272</v>
          </cell>
          <cell r="F511" t="str">
            <v>COV-1717</v>
          </cell>
          <cell r="L511" t="str">
            <v>CLAMP,LOOP</v>
          </cell>
          <cell r="R511" t="str">
            <v>5340</v>
          </cell>
          <cell r="S511" t="str">
            <v>012664118</v>
          </cell>
          <cell r="V511" t="str">
            <v>0000000077</v>
          </cell>
          <cell r="AJ511" t="str">
            <v xml:space="preserve">CLUW </v>
          </cell>
        </row>
        <row r="512">
          <cell r="B512" t="str">
            <v xml:space="preserve">CWJA </v>
          </cell>
          <cell r="D512" t="str">
            <v>C</v>
          </cell>
          <cell r="E512" t="str">
            <v>75272</v>
          </cell>
          <cell r="F512" t="str">
            <v>COV-2509</v>
          </cell>
          <cell r="L512" t="str">
            <v>CLAMP,LOOP</v>
          </cell>
          <cell r="R512" t="str">
            <v>5340</v>
          </cell>
          <cell r="S512" t="str">
            <v>011111510</v>
          </cell>
          <cell r="V512" t="str">
            <v>0000000044</v>
          </cell>
          <cell r="AJ512" t="str">
            <v xml:space="preserve">CLUW </v>
          </cell>
        </row>
        <row r="513">
          <cell r="B513" t="str">
            <v xml:space="preserve">CWP6 </v>
          </cell>
          <cell r="D513" t="str">
            <v>C</v>
          </cell>
          <cell r="E513" t="str">
            <v>75272</v>
          </cell>
          <cell r="F513" t="str">
            <v>COV-3309</v>
          </cell>
          <cell r="L513" t="str">
            <v>CLAMP,LOOP</v>
          </cell>
          <cell r="R513" t="str">
            <v/>
          </cell>
          <cell r="S513" t="str">
            <v/>
          </cell>
          <cell r="V513" t="str">
            <v>0000000100</v>
          </cell>
          <cell r="AJ513" t="str">
            <v xml:space="preserve">CLUW </v>
          </cell>
        </row>
        <row r="514">
          <cell r="F514"/>
          <cell r="L514"/>
          <cell r="R514"/>
          <cell r="S514"/>
          <cell r="V514"/>
        </row>
        <row r="515">
          <cell r="F515"/>
          <cell r="L515"/>
          <cell r="R515"/>
          <cell r="S515"/>
          <cell r="V515"/>
        </row>
        <row r="516">
          <cell r="F516"/>
          <cell r="L516"/>
          <cell r="R516"/>
          <cell r="S516"/>
          <cell r="V516"/>
        </row>
        <row r="517">
          <cell r="F517"/>
          <cell r="L517"/>
          <cell r="R517"/>
          <cell r="S517"/>
          <cell r="V517"/>
        </row>
        <row r="518">
          <cell r="F518"/>
          <cell r="L518"/>
          <cell r="R518"/>
          <cell r="S518"/>
          <cell r="V518"/>
        </row>
        <row r="519">
          <cell r="F519"/>
          <cell r="L519"/>
          <cell r="R519"/>
          <cell r="S519"/>
          <cell r="V519"/>
        </row>
        <row r="520">
          <cell r="F520"/>
          <cell r="L520"/>
          <cell r="R520"/>
          <cell r="S520"/>
          <cell r="V520"/>
        </row>
        <row r="521">
          <cell r="F521"/>
          <cell r="L521"/>
          <cell r="R521"/>
          <cell r="S521"/>
          <cell r="V521"/>
        </row>
        <row r="522">
          <cell r="F522"/>
          <cell r="L522"/>
          <cell r="R522"/>
          <cell r="S522"/>
          <cell r="V522"/>
        </row>
        <row r="523">
          <cell r="F523"/>
          <cell r="L523"/>
          <cell r="R523"/>
          <cell r="S523"/>
          <cell r="V523"/>
        </row>
        <row r="524">
          <cell r="F524"/>
          <cell r="L524"/>
          <cell r="R524"/>
          <cell r="S524"/>
          <cell r="V524"/>
        </row>
        <row r="525">
          <cell r="F525"/>
          <cell r="L525"/>
          <cell r="R525"/>
          <cell r="S525"/>
          <cell r="V525"/>
        </row>
        <row r="526">
          <cell r="F526"/>
          <cell r="L526"/>
          <cell r="R526"/>
          <cell r="S526"/>
          <cell r="V526"/>
        </row>
        <row r="527">
          <cell r="F527"/>
          <cell r="L527"/>
          <cell r="R527"/>
          <cell r="S527"/>
          <cell r="V527"/>
        </row>
        <row r="528">
          <cell r="F528"/>
          <cell r="L528"/>
          <cell r="R528"/>
          <cell r="S528"/>
          <cell r="V528"/>
        </row>
        <row r="529">
          <cell r="F529"/>
          <cell r="L529"/>
          <cell r="R529"/>
          <cell r="S529"/>
          <cell r="V529"/>
        </row>
        <row r="530">
          <cell r="F530"/>
          <cell r="L530"/>
          <cell r="R530"/>
          <cell r="S530"/>
          <cell r="V530"/>
        </row>
        <row r="531">
          <cell r="F531"/>
          <cell r="L531"/>
          <cell r="R531"/>
          <cell r="S531"/>
          <cell r="V531"/>
        </row>
        <row r="532">
          <cell r="F532"/>
          <cell r="L532"/>
          <cell r="R532"/>
          <cell r="S532"/>
          <cell r="V532"/>
        </row>
        <row r="533">
          <cell r="F533"/>
          <cell r="L533"/>
          <cell r="R533"/>
          <cell r="S533"/>
          <cell r="V533"/>
        </row>
        <row r="534">
          <cell r="F534"/>
          <cell r="L534"/>
          <cell r="R534"/>
          <cell r="S534"/>
          <cell r="V534"/>
        </row>
        <row r="535">
          <cell r="F535"/>
          <cell r="L535"/>
          <cell r="R535"/>
          <cell r="S535"/>
          <cell r="V535"/>
        </row>
        <row r="536">
          <cell r="F536"/>
          <cell r="L536"/>
          <cell r="R536"/>
          <cell r="S536"/>
          <cell r="V536"/>
        </row>
        <row r="537">
          <cell r="F537"/>
          <cell r="L537"/>
          <cell r="R537"/>
          <cell r="S537"/>
          <cell r="V537"/>
        </row>
        <row r="538">
          <cell r="F538"/>
          <cell r="L538"/>
          <cell r="R538"/>
          <cell r="S538"/>
          <cell r="V538"/>
        </row>
        <row r="539">
          <cell r="F539"/>
          <cell r="L539"/>
          <cell r="R539"/>
          <cell r="S539"/>
          <cell r="V539"/>
        </row>
        <row r="540">
          <cell r="F540"/>
          <cell r="L540"/>
          <cell r="R540"/>
          <cell r="S540"/>
          <cell r="V540"/>
        </row>
        <row r="541">
          <cell r="F541"/>
          <cell r="L541"/>
          <cell r="R541"/>
          <cell r="S541"/>
          <cell r="V541"/>
        </row>
        <row r="542">
          <cell r="F542"/>
          <cell r="L542"/>
          <cell r="R542"/>
          <cell r="S542"/>
          <cell r="V542"/>
        </row>
        <row r="543">
          <cell r="F543"/>
          <cell r="L543"/>
          <cell r="R543"/>
          <cell r="S543"/>
          <cell r="V543"/>
        </row>
        <row r="544">
          <cell r="F544"/>
          <cell r="L544"/>
          <cell r="R544"/>
          <cell r="S544"/>
          <cell r="V544"/>
        </row>
        <row r="545">
          <cell r="F545"/>
          <cell r="L545"/>
          <cell r="R545"/>
          <cell r="S545"/>
          <cell r="V545"/>
        </row>
        <row r="546">
          <cell r="F546"/>
          <cell r="L546"/>
          <cell r="R546"/>
          <cell r="S546"/>
          <cell r="V546"/>
        </row>
        <row r="547">
          <cell r="F547"/>
          <cell r="L547"/>
          <cell r="R547"/>
          <cell r="S547"/>
          <cell r="V547"/>
        </row>
        <row r="548">
          <cell r="F548"/>
          <cell r="L548"/>
          <cell r="R548"/>
          <cell r="S548"/>
          <cell r="V548"/>
        </row>
        <row r="549">
          <cell r="F549"/>
          <cell r="L549"/>
          <cell r="R549"/>
          <cell r="S549"/>
          <cell r="V549"/>
        </row>
        <row r="550">
          <cell r="F550"/>
          <cell r="L550"/>
          <cell r="R550"/>
          <cell r="S550"/>
          <cell r="V550"/>
        </row>
        <row r="551">
          <cell r="F551"/>
          <cell r="L551"/>
          <cell r="R551"/>
          <cell r="S551"/>
          <cell r="V551"/>
        </row>
        <row r="552">
          <cell r="F552"/>
          <cell r="L552"/>
          <cell r="R552"/>
          <cell r="S552"/>
          <cell r="V552"/>
        </row>
        <row r="553">
          <cell r="F553"/>
          <cell r="L553"/>
          <cell r="R553"/>
          <cell r="S553"/>
          <cell r="V553"/>
        </row>
        <row r="554">
          <cell r="F554"/>
          <cell r="L554"/>
          <cell r="R554"/>
          <cell r="S554"/>
          <cell r="V554"/>
        </row>
        <row r="555">
          <cell r="F555"/>
          <cell r="L555"/>
          <cell r="R555"/>
          <cell r="S555"/>
          <cell r="V555"/>
        </row>
        <row r="556">
          <cell r="F556"/>
          <cell r="L556"/>
          <cell r="R556"/>
          <cell r="S556"/>
          <cell r="V556"/>
        </row>
        <row r="557">
          <cell r="F557"/>
          <cell r="L557"/>
          <cell r="R557"/>
          <cell r="S557"/>
          <cell r="V557"/>
        </row>
        <row r="558">
          <cell r="F558"/>
          <cell r="L558"/>
          <cell r="R558"/>
          <cell r="S558"/>
          <cell r="V558"/>
        </row>
        <row r="559">
          <cell r="F559"/>
          <cell r="L559"/>
          <cell r="R559"/>
          <cell r="S559"/>
          <cell r="V559"/>
        </row>
        <row r="560">
          <cell r="F560"/>
          <cell r="L560"/>
          <cell r="R560"/>
          <cell r="S560"/>
          <cell r="V560"/>
        </row>
        <row r="561">
          <cell r="F561"/>
          <cell r="L561"/>
          <cell r="R561"/>
          <cell r="S561"/>
          <cell r="V561"/>
        </row>
        <row r="562">
          <cell r="F562"/>
          <cell r="L562"/>
          <cell r="R562"/>
          <cell r="S562"/>
          <cell r="V562"/>
        </row>
        <row r="563">
          <cell r="F563"/>
          <cell r="L563"/>
          <cell r="R563"/>
          <cell r="S563"/>
          <cell r="V563"/>
        </row>
        <row r="564">
          <cell r="F564"/>
          <cell r="L564"/>
          <cell r="R564"/>
          <cell r="S564"/>
          <cell r="V564"/>
        </row>
        <row r="565">
          <cell r="F565"/>
          <cell r="L565"/>
          <cell r="R565"/>
          <cell r="S565"/>
          <cell r="V565"/>
        </row>
        <row r="566">
          <cell r="F566"/>
          <cell r="L566"/>
          <cell r="R566"/>
          <cell r="S566"/>
          <cell r="V566"/>
        </row>
        <row r="567">
          <cell r="F567"/>
          <cell r="L567"/>
          <cell r="R567"/>
          <cell r="S567"/>
          <cell r="V567"/>
        </row>
        <row r="568">
          <cell r="F568"/>
          <cell r="L568"/>
          <cell r="R568"/>
          <cell r="S568"/>
          <cell r="V568"/>
        </row>
        <row r="569">
          <cell r="F569"/>
          <cell r="L569"/>
          <cell r="R569"/>
          <cell r="S569"/>
          <cell r="V569"/>
        </row>
        <row r="570">
          <cell r="F570"/>
          <cell r="L570"/>
          <cell r="R570"/>
          <cell r="S570"/>
          <cell r="V570"/>
        </row>
        <row r="571">
          <cell r="F571"/>
          <cell r="L571"/>
          <cell r="R571"/>
          <cell r="S571"/>
          <cell r="V571"/>
        </row>
        <row r="572">
          <cell r="F572"/>
          <cell r="L572"/>
          <cell r="R572"/>
          <cell r="S572"/>
          <cell r="V572"/>
        </row>
        <row r="573">
          <cell r="F573"/>
          <cell r="L573"/>
          <cell r="R573"/>
          <cell r="S573"/>
          <cell r="V573"/>
        </row>
        <row r="574">
          <cell r="F574"/>
          <cell r="L574"/>
          <cell r="R574"/>
          <cell r="S574"/>
          <cell r="V574"/>
        </row>
        <row r="575">
          <cell r="F575"/>
          <cell r="L575"/>
          <cell r="R575"/>
          <cell r="S575"/>
          <cell r="V575"/>
        </row>
        <row r="576">
          <cell r="F576"/>
          <cell r="L576"/>
          <cell r="R576"/>
          <cell r="S576"/>
          <cell r="V576"/>
        </row>
        <row r="577">
          <cell r="F577"/>
          <cell r="L577"/>
          <cell r="R577"/>
          <cell r="S577"/>
          <cell r="V577"/>
        </row>
        <row r="578">
          <cell r="F578"/>
          <cell r="L578"/>
          <cell r="R578"/>
          <cell r="S578"/>
          <cell r="V578"/>
        </row>
        <row r="579">
          <cell r="F579"/>
          <cell r="L579"/>
          <cell r="R579"/>
          <cell r="S579"/>
          <cell r="V579"/>
        </row>
        <row r="580">
          <cell r="F580"/>
          <cell r="L580"/>
          <cell r="R580"/>
          <cell r="S580"/>
          <cell r="V580"/>
        </row>
        <row r="581">
          <cell r="F581"/>
          <cell r="L581"/>
          <cell r="R581"/>
          <cell r="S581"/>
          <cell r="V581"/>
        </row>
        <row r="582">
          <cell r="F582"/>
          <cell r="L582"/>
          <cell r="R582"/>
          <cell r="S582"/>
          <cell r="V582"/>
        </row>
        <row r="583">
          <cell r="F583"/>
          <cell r="L583"/>
          <cell r="R583"/>
          <cell r="S583"/>
          <cell r="V583"/>
        </row>
        <row r="584">
          <cell r="F584"/>
          <cell r="L584"/>
          <cell r="R584"/>
          <cell r="S584"/>
          <cell r="V584"/>
        </row>
        <row r="585">
          <cell r="F585"/>
          <cell r="L585"/>
          <cell r="R585"/>
          <cell r="S585"/>
          <cell r="V585"/>
        </row>
        <row r="586">
          <cell r="F586"/>
          <cell r="L586"/>
          <cell r="R586"/>
          <cell r="S586"/>
          <cell r="V586"/>
        </row>
        <row r="587">
          <cell r="F587"/>
          <cell r="L587"/>
          <cell r="R587"/>
          <cell r="S587"/>
          <cell r="V587"/>
        </row>
        <row r="588">
          <cell r="F588"/>
          <cell r="L588"/>
          <cell r="R588"/>
          <cell r="S588"/>
          <cell r="V588"/>
        </row>
        <row r="589">
          <cell r="F589"/>
          <cell r="L589"/>
          <cell r="R589"/>
          <cell r="S589"/>
          <cell r="V589"/>
        </row>
        <row r="590">
          <cell r="F590"/>
          <cell r="L590"/>
          <cell r="R590"/>
          <cell r="S590"/>
          <cell r="V590"/>
        </row>
        <row r="591">
          <cell r="F591"/>
          <cell r="L591"/>
          <cell r="R591"/>
          <cell r="S591"/>
          <cell r="V591"/>
        </row>
        <row r="592">
          <cell r="F592"/>
          <cell r="L592"/>
          <cell r="R592"/>
          <cell r="S592"/>
          <cell r="V592"/>
        </row>
        <row r="593">
          <cell r="F593"/>
          <cell r="L593"/>
          <cell r="R593"/>
          <cell r="S593"/>
          <cell r="V593"/>
        </row>
        <row r="594">
          <cell r="F594"/>
          <cell r="L594"/>
          <cell r="R594"/>
          <cell r="S594"/>
          <cell r="V594"/>
        </row>
        <row r="595">
          <cell r="F595"/>
          <cell r="L595"/>
          <cell r="R595"/>
          <cell r="S595"/>
          <cell r="V595"/>
        </row>
        <row r="596">
          <cell r="F596"/>
          <cell r="L596"/>
          <cell r="R596"/>
          <cell r="S596"/>
          <cell r="V596"/>
        </row>
        <row r="597">
          <cell r="F597"/>
          <cell r="L597"/>
          <cell r="R597"/>
          <cell r="S597"/>
          <cell r="V597"/>
        </row>
        <row r="598">
          <cell r="F598"/>
          <cell r="L598"/>
          <cell r="R598"/>
          <cell r="S598"/>
          <cell r="V598"/>
        </row>
        <row r="599">
          <cell r="F599"/>
          <cell r="L599"/>
          <cell r="R599"/>
          <cell r="S599"/>
          <cell r="V599"/>
        </row>
        <row r="600">
          <cell r="F600"/>
          <cell r="L600"/>
          <cell r="R600"/>
          <cell r="S600"/>
          <cell r="V600"/>
        </row>
        <row r="601">
          <cell r="F601"/>
          <cell r="L601"/>
          <cell r="R601"/>
          <cell r="S601"/>
          <cell r="V601"/>
        </row>
        <row r="602">
          <cell r="F602"/>
          <cell r="L602"/>
          <cell r="R602"/>
          <cell r="S602"/>
          <cell r="V602"/>
        </row>
        <row r="603">
          <cell r="F603"/>
          <cell r="L603"/>
          <cell r="R603"/>
          <cell r="S603"/>
          <cell r="V603"/>
        </row>
        <row r="604">
          <cell r="F604"/>
          <cell r="L604"/>
          <cell r="R604"/>
          <cell r="S604"/>
          <cell r="V604"/>
        </row>
        <row r="605">
          <cell r="F605"/>
          <cell r="L605"/>
          <cell r="R605"/>
          <cell r="S605"/>
          <cell r="V605"/>
        </row>
        <row r="606">
          <cell r="F606"/>
          <cell r="L606"/>
          <cell r="R606"/>
          <cell r="S606"/>
          <cell r="V606"/>
        </row>
        <row r="607">
          <cell r="F607"/>
          <cell r="L607"/>
          <cell r="R607"/>
          <cell r="S607"/>
          <cell r="V607"/>
        </row>
        <row r="608">
          <cell r="F608"/>
          <cell r="L608"/>
          <cell r="R608"/>
          <cell r="S608"/>
          <cell r="V608"/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607"/>
  <sheetViews>
    <sheetView tabSelected="1" workbookViewId="0">
      <pane ySplit="1" topLeftCell="A495" activePane="bottomLeft" state="frozen"/>
      <selection pane="bottomLeft" activeCell="G513" sqref="G513"/>
    </sheetView>
  </sheetViews>
  <sheetFormatPr defaultRowHeight="15"/>
  <cols>
    <col min="1" max="1" width="32" bestFit="1" customWidth="1"/>
    <col min="2" max="2" width="1.85546875" style="4" customWidth="1"/>
    <col min="3" max="3" width="1.85546875" style="3" customWidth="1"/>
    <col min="4" max="4" width="1.85546875" style="5" customWidth="1"/>
    <col min="5" max="5" width="1.85546875" style="4" customWidth="1"/>
    <col min="6" max="6" width="2.42578125" style="6" customWidth="1"/>
    <col min="7" max="7" width="9.140625" style="7"/>
    <col min="8" max="8" width="5.7109375" style="2" bestFit="1" customWidth="1"/>
    <col min="9" max="9" width="4.28515625" style="2" bestFit="1" customWidth="1"/>
    <col min="10" max="10" width="7" style="2" bestFit="1" customWidth="1"/>
    <col min="11" max="11" width="20.28515625" style="2" bestFit="1" customWidth="1"/>
    <col min="12" max="12" width="25" style="2" bestFit="1" customWidth="1"/>
    <col min="13" max="13" width="11.5703125" style="2" customWidth="1"/>
    <col min="14" max="14" width="5" bestFit="1" customWidth="1"/>
    <col min="15" max="15" width="10.42578125" customWidth="1"/>
    <col min="16" max="16" width="11" style="2" bestFit="1" customWidth="1"/>
    <col min="17" max="17" width="4.140625" style="3" customWidth="1"/>
    <col min="18" max="18" width="21.7109375" style="1" bestFit="1" customWidth="1"/>
  </cols>
  <sheetData>
    <row r="1" spans="1:18">
      <c r="A1" s="7"/>
      <c r="B1" s="3" t="s">
        <v>3</v>
      </c>
      <c r="C1" s="3" t="s">
        <v>2</v>
      </c>
      <c r="D1" s="9" t="s">
        <v>0</v>
      </c>
      <c r="E1" s="3" t="s">
        <v>3</v>
      </c>
      <c r="F1" s="10" t="s">
        <v>4</v>
      </c>
      <c r="G1" s="7" t="s">
        <v>1</v>
      </c>
      <c r="H1" s="7" t="s">
        <v>422</v>
      </c>
      <c r="I1" s="7" t="s">
        <v>423</v>
      </c>
      <c r="J1" s="7" t="s">
        <v>424</v>
      </c>
      <c r="K1" s="7"/>
      <c r="L1" s="7" t="s">
        <v>4</v>
      </c>
      <c r="M1" s="7" t="s">
        <v>405</v>
      </c>
      <c r="N1" s="7" t="s">
        <v>408</v>
      </c>
      <c r="O1" s="7" t="s">
        <v>409</v>
      </c>
      <c r="P1" s="7" t="s">
        <v>419</v>
      </c>
      <c r="Q1" s="3" t="s">
        <v>421</v>
      </c>
      <c r="R1" s="8" t="s">
        <v>420</v>
      </c>
    </row>
    <row r="2" spans="1:18">
      <c r="A2" s="7" t="s">
        <v>410</v>
      </c>
      <c r="B2" s="3">
        <f t="shared" ref="B2:B65" si="0">IF(C2="","",CODE(C2))</f>
        <v>65</v>
      </c>
      <c r="C2" s="3" t="str">
        <f>I2</f>
        <v>A</v>
      </c>
      <c r="D2" s="9" t="str">
        <f>K2</f>
        <v>MMPV TYPE II CPD 3.8</v>
      </c>
      <c r="E2" s="3" t="str">
        <f>G2&amp;" "&amp;D2</f>
        <v>AAAA  MMPV TYPE II CPD 3.8</v>
      </c>
      <c r="F2" s="10" t="str">
        <f>$A$2&amp;":-:"&amp;"PLISN: "&amp;$G2&amp;":-:"&amp;$A$4&amp;" :-: "&amp;"CAGE: "&amp;J2&amp;":-:"&amp;"PART NUMBER: " &amp; R2&amp;":-:NOMENCLATURE: "&amp;L2&amp;":-:PRICE: " &amp; Q2&amp;":-:"&amp;$A$9&amp;":-:"&amp;$A$10&amp;":-: :-: :-: :-:"&amp;IF(N2="","","NSN: "&amp;N2&amp;O2)&amp;IF(M2="",""," :-: NHA: "&amp;VLOOKUP(M2,G$2:L$65000,5,FALSE)&amp;IF(VLOOKUP(M2,G$2:O$65000,8,FALSE)="",""," :-: NHA NSN: "&amp;VLOOKUP(M2,G$2:O$65000,8,FALSE)&amp;VLOOKUP(M2,G$2:O$65000,9,FALSE)))</f>
        <v>PCCN: CRGARM:-:PLISN: AAAA :-:PCC: TIT :-: CAGE: 19207:-:PART NUMBER: MMPV TYPE II CPD 3.8:-:NOMENCLATURE: INTERROGATION ARM A:-:PRICE: $46952.00:-:UNIQUE MODS: NO:-:PROPRIETARILY MFG FOR OEM: NO:-: :-: :-: :-:NSN: 2590016185030</v>
      </c>
      <c r="G2" s="8" t="str">
        <f>IF([1]All!$B3="","",[1]All!$B3)</f>
        <v xml:space="preserve">AAAA </v>
      </c>
      <c r="H2" s="8"/>
      <c r="I2" s="8" t="str">
        <f>IF([1]All!$D3=0,"",[1]All!$D3)</f>
        <v>A</v>
      </c>
      <c r="J2" s="8">
        <f>IF([1]All!$E3=0,"",[1]All!$E3)</f>
        <v>19207</v>
      </c>
      <c r="K2" s="8" t="s">
        <v>5</v>
      </c>
      <c r="L2" s="11" t="str">
        <f>IF([1]All!$L3=0,"",[1]All!$L3)</f>
        <v>INTERROGATION ARM A</v>
      </c>
      <c r="M2" s="7" t="str">
        <f>IF([1]All!$AJ3=0,"",[1]All!$AJ3)</f>
        <v/>
      </c>
      <c r="N2" s="7" t="str">
        <f>IF([1]All!$R3=0,"",[1]All!$R3)</f>
        <v>2590</v>
      </c>
      <c r="O2" s="7" t="str">
        <f>IF([1]All!$S3=0,"",[1]All!$S3)</f>
        <v>016185030</v>
      </c>
      <c r="P2" s="7" t="str">
        <f>IF([1]All!$V3=0,"",[1]All!$V3)</f>
        <v>0004695200</v>
      </c>
      <c r="Q2" s="3" t="str">
        <f>IF(ISERROR(FIND(".",P2*0.01)),"$"&amp;P2*0.01&amp;".00",IF(FIND(".",P2*0.01)&lt;LEN(P2*0.01)-1,"$"&amp;P2*0.01,"$"&amp;P2*0.01&amp;"0"))</f>
        <v>$46952.00</v>
      </c>
      <c r="R2" s="8" t="str">
        <f>IF([1]All!$F3=0,"",[1]All!$F3)</f>
        <v>MMPV TYPE II CPD 3.8</v>
      </c>
    </row>
    <row r="3" spans="1:18">
      <c r="A3" s="7" t="s">
        <v>411</v>
      </c>
      <c r="B3" s="3">
        <f t="shared" si="0"/>
        <v>66</v>
      </c>
      <c r="C3" s="3" t="str">
        <f t="shared" ref="C3:C66" si="1">I3</f>
        <v>B</v>
      </c>
      <c r="D3" s="9" t="str">
        <f t="shared" ref="D3:D66" si="2">K3</f>
        <v>12574288</v>
      </c>
      <c r="E3" s="3" t="str">
        <f t="shared" ref="E3:E66" si="3">G3&amp;" "&amp;D3</f>
        <v>AAF6  12574288</v>
      </c>
      <c r="F3" s="10" t="str">
        <f t="shared" ref="F3:F66" si="4">$A$2&amp;":-:"&amp;"PLISN: "&amp;$G3&amp;":-:"&amp;$A$4&amp;" :-: "&amp;"CAGE: "&amp;J3&amp;":-:"&amp;"PART NUMBER: " &amp; R3&amp;":-:NOMENCLATURE: "&amp;L3&amp;":-:PRICE: " &amp; Q3&amp;":-:"&amp;$A$9&amp;":-:"&amp;$A$10&amp;":-: :-: :-: :-:"&amp;IF(N3="","","NSN: "&amp;N3&amp;O3)&amp;IF(M3="",""," :-: NHA: "&amp;VLOOKUP(M3,G$2:L$65000,5,FALSE)&amp;IF(VLOOKUP(M3,G$2:O$65000,8,FALSE)="",""," :-: NHA NSN: "&amp;VLOOKUP(M3,G$2:O$65000,8,FALSE)&amp;VLOOKUP(M3,G$2:O$65000,9,FALSE)))</f>
        <v>PCCN: CRGARM:-:PLISN: AAF6 :-:PCC: TIT :-: CAGE: 19207:-:PART NUMBER: 12574288:-:NOMENCLATURE: INSTALLATION KIT,VE:-:PRICE: $0.01:-:UNIQUE MODS: NO:-:PROPRIETARILY MFG FOR OEM: NO:-: :-: :-: :-: :-: NHA: MMPV TYPE II CPD 3.8 :-: NHA NSN: 2590016185030</v>
      </c>
      <c r="G3" s="8" t="str">
        <f>IF([1]All!$B4="","",[1]All!$B4)</f>
        <v xml:space="preserve">AAF6 </v>
      </c>
      <c r="H3" s="8"/>
      <c r="I3" s="8" t="str">
        <f>IF([1]All!$D4=0,"",[1]All!$D4)</f>
        <v>B</v>
      </c>
      <c r="J3" s="8">
        <f>IF([1]All!$E4=0,"",[1]All!$E4)</f>
        <v>19207</v>
      </c>
      <c r="K3" s="8" t="s">
        <v>6</v>
      </c>
      <c r="L3" s="11" t="str">
        <f>IF([1]All!$L4=0,"",[1]All!$L4)</f>
        <v>INSTALLATION KIT,VE</v>
      </c>
      <c r="M3" s="7" t="str">
        <f>IF([1]All!$AJ4=0,"",[1]All!$AJ4)</f>
        <v xml:space="preserve">AAAA </v>
      </c>
      <c r="N3" s="7" t="str">
        <f>IF([1]All!$R4=0,"",[1]All!$R4)</f>
        <v/>
      </c>
      <c r="O3" s="7" t="str">
        <f>IF([1]All!$S4=0,"",[1]All!$S4)</f>
        <v/>
      </c>
      <c r="P3" s="7" t="str">
        <f>IF([1]All!$V4=0,"",[1]All!$V4)</f>
        <v>0000000001</v>
      </c>
      <c r="Q3" s="3" t="str">
        <f t="shared" ref="Q3:Q66" si="5">IF(ISERROR(FIND(".",P3*0.01)),"$"&amp;P3*0.01&amp;".00",IF(FIND(".",P3*0.01)&lt;LEN(P3*0.01)-1,"$"&amp;P3*0.01,"$"&amp;P3*0.01&amp;"0"))</f>
        <v>$0.01</v>
      </c>
      <c r="R3" s="8" t="str">
        <f>IF([1]All!$F4=0,"",[1]All!$F4)</f>
        <v>12574288</v>
      </c>
    </row>
    <row r="4" spans="1:18">
      <c r="A4" s="7" t="s">
        <v>412</v>
      </c>
      <c r="B4" s="3">
        <f t="shared" si="0"/>
        <v>67</v>
      </c>
      <c r="C4" s="3" t="str">
        <f t="shared" si="1"/>
        <v>C</v>
      </c>
      <c r="D4" s="9" t="str">
        <f t="shared" si="2"/>
        <v>MIL-001-080</v>
      </c>
      <c r="E4" s="3" t="str">
        <f t="shared" si="3"/>
        <v>AAM2  MIL-001-080</v>
      </c>
      <c r="F4" s="10" t="str">
        <f t="shared" si="4"/>
        <v>PCCN: CRGARM:-:PLISN: AAM2 :-:PCC: TIT :-: CAGE: 0UJB5:-:PART NUMBER: MIL-001-080:-:NOMENCLATURE: CYLINDER ASSEMBLY,A:-:PRICE: $12820.66:-:UNIQUE MODS: NO:-:PROPRIETARILY MFG FOR OEM: NO:-: :-: :-: :-:NSN: 3040015666891 :-: NHA: 12574288</v>
      </c>
      <c r="G4" s="8" t="str">
        <f>IF([1]All!$B5="","",[1]All!$B5)</f>
        <v xml:space="preserve">AAM2 </v>
      </c>
      <c r="H4" s="8"/>
      <c r="I4" s="8" t="str">
        <f>IF([1]All!$D5=0,"",[1]All!$D5)</f>
        <v>C</v>
      </c>
      <c r="J4" s="8" t="str">
        <f>IF([1]All!$E5=0,"",[1]All!$E5)</f>
        <v>0UJB5</v>
      </c>
      <c r="K4" s="8" t="s">
        <v>7</v>
      </c>
      <c r="L4" s="11" t="str">
        <f>IF([1]All!$L5=0,"",[1]All!$L5)</f>
        <v>CYLINDER ASSEMBLY,A</v>
      </c>
      <c r="M4" s="7" t="str">
        <f>IF([1]All!$AJ5=0,"",[1]All!$AJ5)</f>
        <v xml:space="preserve">AAF6 </v>
      </c>
      <c r="N4" s="7" t="str">
        <f>IF([1]All!$R5=0,"",[1]All!$R5)</f>
        <v>3040</v>
      </c>
      <c r="O4" s="7" t="str">
        <f>IF([1]All!$S5=0,"",[1]All!$S5)</f>
        <v>015666891</v>
      </c>
      <c r="P4" s="7" t="str">
        <f>IF([1]All!$V5=0,"",[1]All!$V5)</f>
        <v>0001282066</v>
      </c>
      <c r="Q4" s="3" t="str">
        <f t="shared" si="5"/>
        <v>$12820.66</v>
      </c>
      <c r="R4" s="8" t="str">
        <f>IF([1]All!$F5=0,"",[1]All!$F5)</f>
        <v>MIL-001-080</v>
      </c>
    </row>
    <row r="5" spans="1:18">
      <c r="A5" s="7" t="s">
        <v>413</v>
      </c>
      <c r="B5" s="3">
        <f t="shared" si="0"/>
        <v>68</v>
      </c>
      <c r="C5" s="3" t="str">
        <f t="shared" si="1"/>
        <v>D</v>
      </c>
      <c r="D5" s="9" t="str">
        <f t="shared" si="2"/>
        <v>MIL-001-396</v>
      </c>
      <c r="E5" s="3" t="str">
        <f t="shared" si="3"/>
        <v>AATY  MIL-001-396</v>
      </c>
      <c r="F5" s="10" t="str">
        <f t="shared" si="4"/>
        <v>PCCN: CRGARM:-:PLISN: AATY :-:PCC: TIT :-: CAGE: 0UJB5:-:PART NUMBER: MIL-001-396:-:NOMENCLATURE: CRANE-SHOVEL,BASIC :-:PRICE: $11886.29:-:UNIQUE MODS: NO:-:PROPRIETARILY MFG FOR OEM: NO:-: :-: :-: :-:NSN: 3810015663870 :-: NHA: MIL-001-080 :-: NHA NSN: 3040015666891</v>
      </c>
      <c r="G5" s="8" t="str">
        <f>IF([1]All!$B6="","",[1]All!$B6)</f>
        <v xml:space="preserve">AATY </v>
      </c>
      <c r="H5" s="8"/>
      <c r="I5" s="8" t="str">
        <f>IF([1]All!$D6=0,"",[1]All!$D6)</f>
        <v>D</v>
      </c>
      <c r="J5" s="8" t="str">
        <f>IF([1]All!$E6=0,"",[1]All!$E6)</f>
        <v>0UJB5</v>
      </c>
      <c r="K5" s="8" t="s">
        <v>8</v>
      </c>
      <c r="L5" s="11" t="str">
        <f>IF([1]All!$L6=0,"",[1]All!$L6)</f>
        <v xml:space="preserve">CRANE-SHOVEL,BASIC </v>
      </c>
      <c r="M5" s="7" t="str">
        <f>IF([1]All!$AJ6=0,"",[1]All!$AJ6)</f>
        <v xml:space="preserve">AAM2 </v>
      </c>
      <c r="N5" s="7" t="str">
        <f>IF([1]All!$R6=0,"",[1]All!$R6)</f>
        <v>3810</v>
      </c>
      <c r="O5" s="7" t="str">
        <f>IF([1]All!$S6=0,"",[1]All!$S6)</f>
        <v>015663870</v>
      </c>
      <c r="P5" s="7" t="str">
        <f>IF([1]All!$V6=0,"",[1]All!$V6)</f>
        <v>0001188629</v>
      </c>
      <c r="Q5" s="3" t="str">
        <f t="shared" si="5"/>
        <v>$11886.29</v>
      </c>
      <c r="R5" s="8" t="str">
        <f>IF([1]All!$F6=0,"",[1]All!$F6)</f>
        <v>MIL-001-396</v>
      </c>
    </row>
    <row r="6" spans="1:18">
      <c r="A6" s="7" t="s">
        <v>414</v>
      </c>
      <c r="B6" s="3">
        <f t="shared" si="0"/>
        <v>69</v>
      </c>
      <c r="C6" s="3" t="str">
        <f t="shared" si="1"/>
        <v>E</v>
      </c>
      <c r="D6" s="9" t="str">
        <f t="shared" si="2"/>
        <v>MIL-001-498</v>
      </c>
      <c r="E6" s="3" t="str">
        <f t="shared" si="3"/>
        <v>AAZU  MIL-001-498</v>
      </c>
      <c r="F6" s="10" t="str">
        <f t="shared" si="4"/>
        <v>PCCN: CRGARM:-:PLISN: AAZU :-:PCC: TIT :-: CAGE: 0UJB5:-:PART NUMBER: MIL-001-498:-:NOMENCLATURE: MOTOR,HYDRAULIC:-:PRICE: $987.72:-:UNIQUE MODS: NO:-:PROPRIETARILY MFG FOR OEM: NO:-: :-: :-: :-:NSN: 4320015668386 :-: NHA: MIL-001-396 :-: NHA NSN: 3810015663870</v>
      </c>
      <c r="G6" s="8" t="str">
        <f>IF([1]All!$B7="","",[1]All!$B7)</f>
        <v xml:space="preserve">AAZU </v>
      </c>
      <c r="H6" s="8"/>
      <c r="I6" s="8" t="str">
        <f>IF([1]All!$D7=0,"",[1]All!$D7)</f>
        <v>E</v>
      </c>
      <c r="J6" s="8" t="str">
        <f>IF([1]All!$E7=0,"",[1]All!$E7)</f>
        <v>0UJB5</v>
      </c>
      <c r="K6" s="8" t="s">
        <v>9</v>
      </c>
      <c r="L6" s="11" t="str">
        <f>IF([1]All!$L7=0,"",[1]All!$L7)</f>
        <v>MOTOR,HYDRAULIC</v>
      </c>
      <c r="M6" s="7" t="str">
        <f>IF([1]All!$AJ7=0,"",[1]All!$AJ7)</f>
        <v xml:space="preserve">AATY </v>
      </c>
      <c r="N6" s="7" t="str">
        <f>IF([1]All!$R7=0,"",[1]All!$R7)</f>
        <v>4320</v>
      </c>
      <c r="O6" s="7" t="str">
        <f>IF([1]All!$S7=0,"",[1]All!$S7)</f>
        <v>015668386</v>
      </c>
      <c r="P6" s="7" t="str">
        <f>IF([1]All!$V7=0,"",[1]All!$V7)</f>
        <v>0000098772</v>
      </c>
      <c r="Q6" s="3" t="str">
        <f t="shared" si="5"/>
        <v>$987.72</v>
      </c>
      <c r="R6" s="8" t="str">
        <f>IF([1]All!$F7=0,"",[1]All!$F7)</f>
        <v>MIL-001-498</v>
      </c>
    </row>
    <row r="7" spans="1:18">
      <c r="A7" s="7" t="s">
        <v>415</v>
      </c>
      <c r="B7" s="3">
        <f t="shared" si="0"/>
        <v>69</v>
      </c>
      <c r="C7" s="3" t="str">
        <f t="shared" si="1"/>
        <v>E</v>
      </c>
      <c r="D7" s="9" t="str">
        <f t="shared" si="2"/>
        <v>MIL-001-499</v>
      </c>
      <c r="E7" s="3" t="str">
        <f t="shared" si="3"/>
        <v>AA5Q  MIL-001-499</v>
      </c>
      <c r="F7" s="10" t="str">
        <f t="shared" si="4"/>
        <v>PCCN: CRGARM:-:PLISN: AA5Q :-:PCC: TIT :-: CAGE: 0UJB5:-:PART NUMBER: MIL-001-499:-:NOMENCLATURE: HOSE ASSEMBLY,NONME:-:PRICE: $81.45:-:UNIQUE MODS: NO:-:PROPRIETARILY MFG FOR OEM: NO:-: :-: :-: :-:NSN: 4720015664409 :-: NHA: MIL-001-396 :-: NHA NSN: 3810015663870</v>
      </c>
      <c r="G7" s="8" t="str">
        <f>IF([1]All!$B8="","",[1]All!$B8)</f>
        <v xml:space="preserve">AA5Q </v>
      </c>
      <c r="H7" s="8"/>
      <c r="I7" s="8" t="str">
        <f>IF([1]All!$D8=0,"",[1]All!$D8)</f>
        <v>E</v>
      </c>
      <c r="J7" s="8" t="str">
        <f>IF([1]All!$E8=0,"",[1]All!$E8)</f>
        <v>0UJB5</v>
      </c>
      <c r="K7" s="8" t="s">
        <v>10</v>
      </c>
      <c r="L7" s="11" t="str">
        <f>IF([1]All!$L8=0,"",[1]All!$L8)</f>
        <v>HOSE ASSEMBLY,NONME</v>
      </c>
      <c r="M7" s="7" t="str">
        <f>IF([1]All!$AJ8=0,"",[1]All!$AJ8)</f>
        <v xml:space="preserve">AATY </v>
      </c>
      <c r="N7" s="7" t="str">
        <f>IF([1]All!$R8=0,"",[1]All!$R8)</f>
        <v>4720</v>
      </c>
      <c r="O7" s="7" t="str">
        <f>IF([1]All!$S8=0,"",[1]All!$S8)</f>
        <v>015664409</v>
      </c>
      <c r="P7" s="7" t="str">
        <f>IF([1]All!$V8=0,"",[1]All!$V8)</f>
        <v>0000008145</v>
      </c>
      <c r="Q7" s="3" t="str">
        <f t="shared" si="5"/>
        <v>$81.45</v>
      </c>
      <c r="R7" s="8" t="str">
        <f>IF([1]All!$F8=0,"",[1]All!$F8)</f>
        <v>MIL-001-499</v>
      </c>
    </row>
    <row r="8" spans="1:18">
      <c r="A8" s="7" t="s">
        <v>416</v>
      </c>
      <c r="B8" s="3">
        <f t="shared" si="0"/>
        <v>69</v>
      </c>
      <c r="C8" s="3" t="str">
        <f t="shared" si="1"/>
        <v>E</v>
      </c>
      <c r="D8" s="9" t="str">
        <f t="shared" si="2"/>
        <v>MIL-001-067</v>
      </c>
      <c r="E8" s="3" t="str">
        <f t="shared" si="3"/>
        <v>ABBL  MIL-001-067</v>
      </c>
      <c r="F8" s="10" t="str">
        <f t="shared" si="4"/>
        <v>PCCN: CRGARM:-:PLISN: ABBL :-:PCC: TIT :-: CAGE: 0UJB5:-:PART NUMBER: MIL-001-067:-:NOMENCLATURE: CYLINDER ASSEMBLY,A:-:PRICE: $1522.56:-:UNIQUE MODS: NO:-:PROPRIETARILY MFG FOR OEM: NO:-: :-: :-: :-:NSN: 3040015668242 :-: NHA: MIL-001-396 :-: NHA NSN: 3810015663870</v>
      </c>
      <c r="G8" s="8" t="str">
        <f>IF([1]All!$B9="","",[1]All!$B9)</f>
        <v xml:space="preserve">ABBL </v>
      </c>
      <c r="H8" s="8"/>
      <c r="I8" s="8" t="str">
        <f>IF([1]All!$D9=0,"",[1]All!$D9)</f>
        <v>E</v>
      </c>
      <c r="J8" s="8" t="str">
        <f>IF([1]All!$E9=0,"",[1]All!$E9)</f>
        <v>0UJB5</v>
      </c>
      <c r="K8" s="8" t="s">
        <v>11</v>
      </c>
      <c r="L8" s="11" t="str">
        <f>IF([1]All!$L9=0,"",[1]All!$L9)</f>
        <v>CYLINDER ASSEMBLY,A</v>
      </c>
      <c r="M8" s="7" t="str">
        <f>IF([1]All!$AJ9=0,"",[1]All!$AJ9)</f>
        <v xml:space="preserve">AATY </v>
      </c>
      <c r="N8" s="7" t="str">
        <f>IF([1]All!$R9=0,"",[1]All!$R9)</f>
        <v>3040</v>
      </c>
      <c r="O8" s="7" t="str">
        <f>IF([1]All!$S9=0,"",[1]All!$S9)</f>
        <v>015668242</v>
      </c>
      <c r="P8" s="7" t="str">
        <f>IF([1]All!$V9=0,"",[1]All!$V9)</f>
        <v>0000152256</v>
      </c>
      <c r="Q8" s="3" t="str">
        <f t="shared" si="5"/>
        <v>$1522.56</v>
      </c>
      <c r="R8" s="8" t="str">
        <f>IF([1]All!$F9=0,"",[1]All!$F9)</f>
        <v>MIL-001-067</v>
      </c>
    </row>
    <row r="9" spans="1:18">
      <c r="A9" s="7" t="s">
        <v>417</v>
      </c>
      <c r="B9" s="3">
        <f t="shared" si="0"/>
        <v>70</v>
      </c>
      <c r="C9" s="3" t="str">
        <f t="shared" si="1"/>
        <v>F</v>
      </c>
      <c r="D9" s="9" t="str">
        <f t="shared" si="2"/>
        <v>MIL-001-533</v>
      </c>
      <c r="E9" s="3" t="str">
        <f t="shared" si="3"/>
        <v>ABHG  MIL-001-533</v>
      </c>
      <c r="F9" s="10" t="str">
        <f t="shared" si="4"/>
        <v>PCCN: CRGARM:-:PLISN: ABHG :-:PCC: TIT :-: CAGE: 0UJB5:-:PART NUMBER: MIL-001-533:-:NOMENCLATURE: CYLINDER ASSEMBLY,A:-:PRICE: $2037.17:-:UNIQUE MODS: NO:-:PROPRIETARILY MFG FOR OEM: NO:-: :-: :-: :-:NSN: 3040015668374 :-: NHA: MIL-001-067 :-: NHA NSN: 3040015668242</v>
      </c>
      <c r="G9" s="8" t="str">
        <f>IF([1]All!$B10="","",[1]All!$B10)</f>
        <v xml:space="preserve">ABHG </v>
      </c>
      <c r="H9" s="8"/>
      <c r="I9" s="8" t="str">
        <f>IF([1]All!$D10=0,"",[1]All!$D10)</f>
        <v>F</v>
      </c>
      <c r="J9" s="8" t="str">
        <f>IF([1]All!$E10=0,"",[1]All!$E10)</f>
        <v>0UJB5</v>
      </c>
      <c r="K9" s="8" t="s">
        <v>12</v>
      </c>
      <c r="L9" s="11" t="str">
        <f>IF([1]All!$L10=0,"",[1]All!$L10)</f>
        <v>CYLINDER ASSEMBLY,A</v>
      </c>
      <c r="M9" s="7" t="str">
        <f>IF([1]All!$AJ10=0,"",[1]All!$AJ10)</f>
        <v xml:space="preserve">ABBL </v>
      </c>
      <c r="N9" s="7" t="str">
        <f>IF([1]All!$R10=0,"",[1]All!$R10)</f>
        <v>3040</v>
      </c>
      <c r="O9" s="7" t="str">
        <f>IF([1]All!$S10=0,"",[1]All!$S10)</f>
        <v>015668374</v>
      </c>
      <c r="P9" s="7" t="str">
        <f>IF([1]All!$V10=0,"",[1]All!$V10)</f>
        <v>0000203717</v>
      </c>
      <c r="Q9" s="3" t="str">
        <f t="shared" si="5"/>
        <v>$2037.17</v>
      </c>
      <c r="R9" s="8" t="str">
        <f>IF([1]All!$F10=0,"",[1]All!$F10)</f>
        <v>MIL-001-533</v>
      </c>
    </row>
    <row r="10" spans="1:18">
      <c r="A10" s="7" t="s">
        <v>418</v>
      </c>
      <c r="B10" s="3">
        <f t="shared" si="0"/>
        <v>71</v>
      </c>
      <c r="C10" s="3" t="str">
        <f t="shared" si="1"/>
        <v>G</v>
      </c>
      <c r="D10" s="9" t="str">
        <f t="shared" si="2"/>
        <v>MIL-001-1075</v>
      </c>
      <c r="E10" s="3" t="str">
        <f t="shared" si="3"/>
        <v>ABPC  MIL-001-1075</v>
      </c>
      <c r="F10" s="10" t="str">
        <f t="shared" si="4"/>
        <v>PCCN: CRGARM:-:PLISN: ABPC :-:PCC: TIT :-: CAGE: 0UJB5:-:PART NUMBER: MIL-001-1075:-:NOMENCLATURE: BODY,CYLINDER:-:PRICE: $680.00:-:UNIQUE MODS: NO:-:PROPRIETARILY MFG FOR OEM: NO:-: :-: :-: :-: :-: NHA: MIL-001-533 :-: NHA NSN: 3040015668374</v>
      </c>
      <c r="G10" s="8" t="str">
        <f>IF([1]All!$B11="","",[1]All!$B11)</f>
        <v xml:space="preserve">ABPC </v>
      </c>
      <c r="H10" s="8"/>
      <c r="I10" s="8" t="str">
        <f>IF([1]All!$D11=0,"",[1]All!$D11)</f>
        <v>G</v>
      </c>
      <c r="J10" s="8" t="str">
        <f>IF([1]All!$E11=0,"",[1]All!$E11)</f>
        <v>0UJB5</v>
      </c>
      <c r="K10" s="8" t="s">
        <v>13</v>
      </c>
      <c r="L10" s="11" t="str">
        <f>IF([1]All!$L11=0,"",[1]All!$L11)</f>
        <v>BODY,CYLINDER</v>
      </c>
      <c r="M10" s="7" t="str">
        <f>IF([1]All!$AJ11=0,"",[1]All!$AJ11)</f>
        <v xml:space="preserve">ABHG </v>
      </c>
      <c r="N10" s="7" t="str">
        <f>IF([1]All!$R11=0,"",[1]All!$R11)</f>
        <v/>
      </c>
      <c r="O10" s="7" t="str">
        <f>IF([1]All!$S11=0,"",[1]All!$S11)</f>
        <v/>
      </c>
      <c r="P10" s="7" t="str">
        <f>IF([1]All!$V11=0,"",[1]All!$V11)</f>
        <v>0000068000</v>
      </c>
      <c r="Q10" s="3" t="str">
        <f t="shared" si="5"/>
        <v>$680.00</v>
      </c>
      <c r="R10" s="8" t="str">
        <f>IF([1]All!$F11=0,"",[1]All!$F11)</f>
        <v>MIL-001-1075</v>
      </c>
    </row>
    <row r="11" spans="1:18">
      <c r="A11" s="7"/>
      <c r="B11" s="3">
        <f t="shared" si="0"/>
        <v>71</v>
      </c>
      <c r="C11" s="3" t="str">
        <f t="shared" si="1"/>
        <v>G</v>
      </c>
      <c r="D11" s="9" t="str">
        <f t="shared" si="2"/>
        <v>MIL-001-1076</v>
      </c>
      <c r="E11" s="3" t="str">
        <f t="shared" si="3"/>
        <v>ABU8  MIL-001-1076</v>
      </c>
      <c r="F11" s="10" t="str">
        <f t="shared" si="4"/>
        <v>PCCN: CRGARM:-:PLISN: ABU8 :-:PCC: TIT :-: CAGE: 0UJB5:-:PART NUMBER: MIL-001-1076:-:NOMENCLATURE: SPACER:-:PRICE: $36.97:-:UNIQUE MODS: NO:-:PROPRIETARILY MFG FOR OEM: NO:-: :-: :-: :-: :-: NHA: MIL-001-533 :-: NHA NSN: 3040015668374</v>
      </c>
      <c r="G11" s="8" t="str">
        <f>IF([1]All!$B12="","",[1]All!$B12)</f>
        <v xml:space="preserve">ABU8 </v>
      </c>
      <c r="H11" s="8"/>
      <c r="I11" s="8" t="str">
        <f>IF([1]All!$D12=0,"",[1]All!$D12)</f>
        <v>G</v>
      </c>
      <c r="J11" s="8" t="str">
        <f>IF([1]All!$E12=0,"",[1]All!$E12)</f>
        <v>0UJB5</v>
      </c>
      <c r="K11" s="8" t="s">
        <v>14</v>
      </c>
      <c r="L11" s="11" t="str">
        <f>IF([1]All!$L12=0,"",[1]All!$L12)</f>
        <v>SPACER</v>
      </c>
      <c r="M11" s="7" t="str">
        <f>IF([1]All!$AJ12=0,"",[1]All!$AJ12)</f>
        <v xml:space="preserve">ABHG </v>
      </c>
      <c r="N11" s="7" t="str">
        <f>IF([1]All!$R12=0,"",[1]All!$R12)</f>
        <v/>
      </c>
      <c r="O11" s="7" t="str">
        <f>IF([1]All!$S12=0,"",[1]All!$S12)</f>
        <v/>
      </c>
      <c r="P11" s="7" t="str">
        <f>IF([1]All!$V12=0,"",[1]All!$V12)</f>
        <v>0000003697</v>
      </c>
      <c r="Q11" s="3" t="str">
        <f t="shared" si="5"/>
        <v>$36.97</v>
      </c>
      <c r="R11" s="8" t="str">
        <f>IF([1]All!$F12=0,"",[1]All!$F12)</f>
        <v>MIL-001-1076</v>
      </c>
    </row>
    <row r="12" spans="1:18">
      <c r="A12" s="7"/>
      <c r="B12" s="3">
        <f t="shared" si="0"/>
        <v>71</v>
      </c>
      <c r="C12" s="3" t="str">
        <f t="shared" si="1"/>
        <v>G</v>
      </c>
      <c r="D12" s="9" t="str">
        <f t="shared" si="2"/>
        <v>MIL-001-1077</v>
      </c>
      <c r="E12" s="3" t="str">
        <f t="shared" si="3"/>
        <v>AB04  MIL-001-1077</v>
      </c>
      <c r="F12" s="10" t="str">
        <f t="shared" si="4"/>
        <v>PCCN: CRGARM:-:PLISN: AB04 :-:PCC: TIT :-: CAGE: 0UJB5:-:PART NUMBER: MIL-001-1077:-:NOMENCLATURE: BUSHING,SLEEVE:-:PRICE: $2.33:-:UNIQUE MODS: NO:-:PROPRIETARILY MFG FOR OEM: NO:-: :-: :-: :-: :-: NHA: MIL-001-533 :-: NHA NSN: 3040015668374</v>
      </c>
      <c r="G12" s="8" t="str">
        <f>IF([1]All!$B13="","",[1]All!$B13)</f>
        <v xml:space="preserve">AB04 </v>
      </c>
      <c r="H12" s="8"/>
      <c r="I12" s="8" t="str">
        <f>IF([1]All!$D13=0,"",[1]All!$D13)</f>
        <v>G</v>
      </c>
      <c r="J12" s="8" t="str">
        <f>IF([1]All!$E13=0,"",[1]All!$E13)</f>
        <v>0UJB5</v>
      </c>
      <c r="K12" s="8" t="s">
        <v>15</v>
      </c>
      <c r="L12" s="11" t="str">
        <f>IF([1]All!$L13=0,"",[1]All!$L13)</f>
        <v>BUSHING,SLEEVE</v>
      </c>
      <c r="M12" s="7" t="str">
        <f>IF([1]All!$AJ13=0,"",[1]All!$AJ13)</f>
        <v xml:space="preserve">ABHG </v>
      </c>
      <c r="N12" s="7" t="str">
        <f>IF([1]All!$R13=0,"",[1]All!$R13)</f>
        <v/>
      </c>
      <c r="O12" s="7" t="str">
        <f>IF([1]All!$S13=0,"",[1]All!$S13)</f>
        <v/>
      </c>
      <c r="P12" s="7" t="str">
        <f>IF([1]All!$V13=0,"",[1]All!$V13)</f>
        <v>0000000233</v>
      </c>
      <c r="Q12" s="3" t="str">
        <f t="shared" si="5"/>
        <v>$2.33</v>
      </c>
      <c r="R12" s="8" t="str">
        <f>IF([1]All!$F13=0,"",[1]All!$F13)</f>
        <v>MIL-001-1077</v>
      </c>
    </row>
    <row r="13" spans="1:18">
      <c r="A13" s="7"/>
      <c r="B13" s="3">
        <f t="shared" si="0"/>
        <v>71</v>
      </c>
      <c r="C13" s="3" t="str">
        <f t="shared" si="1"/>
        <v>G</v>
      </c>
      <c r="D13" s="9" t="str">
        <f t="shared" si="2"/>
        <v>MIL-001-1078</v>
      </c>
      <c r="E13" s="3" t="str">
        <f t="shared" si="3"/>
        <v>AB60  MIL-001-1078</v>
      </c>
      <c r="F13" s="10" t="str">
        <f t="shared" si="4"/>
        <v>PCCN: CRGARM:-:PLISN: AB60 :-:PCC: TIT :-: CAGE: 0UJB5:-:PART NUMBER: MIL-001-1078:-:NOMENCLATURE: ROD:-:PRICE: $606.70:-:UNIQUE MODS: NO:-:PROPRIETARILY MFG FOR OEM: NO:-: :-: :-: :-: :-: NHA: MIL-001-533 :-: NHA NSN: 3040015668374</v>
      </c>
      <c r="G13" s="8" t="str">
        <f>IF([1]All!$B14="","",[1]All!$B14)</f>
        <v xml:space="preserve">AB60 </v>
      </c>
      <c r="H13" s="8"/>
      <c r="I13" s="8" t="str">
        <f>IF([1]All!$D14=0,"",[1]All!$D14)</f>
        <v>G</v>
      </c>
      <c r="J13" s="8" t="str">
        <f>IF([1]All!$E14=0,"",[1]All!$E14)</f>
        <v>0UJB5</v>
      </c>
      <c r="K13" s="8" t="s">
        <v>16</v>
      </c>
      <c r="L13" s="11" t="str">
        <f>IF([1]All!$L14=0,"",[1]All!$L14)</f>
        <v>ROD</v>
      </c>
      <c r="M13" s="7" t="str">
        <f>IF([1]All!$AJ14=0,"",[1]All!$AJ14)</f>
        <v xml:space="preserve">ABHG </v>
      </c>
      <c r="N13" s="7" t="str">
        <f>IF([1]All!$R14=0,"",[1]All!$R14)</f>
        <v/>
      </c>
      <c r="O13" s="7" t="str">
        <f>IF([1]All!$S14=0,"",[1]All!$S14)</f>
        <v/>
      </c>
      <c r="P13" s="7" t="str">
        <f>IF([1]All!$V14=0,"",[1]All!$V14)</f>
        <v>0000060670</v>
      </c>
      <c r="Q13" s="3" t="str">
        <f t="shared" si="5"/>
        <v>$606.70</v>
      </c>
      <c r="R13" s="8" t="str">
        <f>IF([1]All!$F14=0,"",[1]All!$F14)</f>
        <v>MIL-001-1078</v>
      </c>
    </row>
    <row r="14" spans="1:18">
      <c r="A14" s="7"/>
      <c r="B14" s="3">
        <f t="shared" si="0"/>
        <v>71</v>
      </c>
      <c r="C14" s="3" t="str">
        <f t="shared" si="1"/>
        <v>G</v>
      </c>
      <c r="D14" s="9" t="str">
        <f t="shared" si="2"/>
        <v>DBM 255196</v>
      </c>
      <c r="E14" s="3" t="str">
        <f t="shared" si="3"/>
        <v>ACCW  DBM 255196</v>
      </c>
      <c r="F14" s="10" t="str">
        <f t="shared" si="4"/>
        <v>PCCN: CRGARM:-:PLISN: ACCW :-:PCC: TIT :-: CAGE: 0U5J4:-:PART NUMBER: DBM 255196:-:NOMENCLATURE: SEAL:-:PRICE: $15.38:-:UNIQUE MODS: NO:-:PROPRIETARILY MFG FOR OEM: NO:-: :-: :-: :-: :-: NHA: MIL-001-533 :-: NHA NSN: 3040015668374</v>
      </c>
      <c r="G14" s="8" t="str">
        <f>IF([1]All!$B15="","",[1]All!$B15)</f>
        <v xml:space="preserve">ACCW </v>
      </c>
      <c r="H14" s="8"/>
      <c r="I14" s="8" t="str">
        <f>IF([1]All!$D15=0,"",[1]All!$D15)</f>
        <v>G</v>
      </c>
      <c r="J14" s="8" t="str">
        <f>IF([1]All!$E15=0,"",[1]All!$E15)</f>
        <v>0U5J4</v>
      </c>
      <c r="K14" s="8" t="s">
        <v>440</v>
      </c>
      <c r="L14" s="11" t="str">
        <f>IF([1]All!$L15=0,"",[1]All!$L15)</f>
        <v>SEAL</v>
      </c>
      <c r="M14" s="7" t="str">
        <f>IF([1]All!$AJ15=0,"",[1]All!$AJ15)</f>
        <v xml:space="preserve">ABHG </v>
      </c>
      <c r="N14" s="7" t="str">
        <f>IF([1]All!$R15=0,"",[1]All!$R15)</f>
        <v/>
      </c>
      <c r="O14" s="7" t="str">
        <f>IF([1]All!$S15=0,"",[1]All!$S15)</f>
        <v/>
      </c>
      <c r="P14" s="7" t="str">
        <f>IF([1]All!$V15=0,"",[1]All!$V15)</f>
        <v>0000001538</v>
      </c>
      <c r="Q14" s="3" t="str">
        <f t="shared" si="5"/>
        <v>$15.38</v>
      </c>
      <c r="R14" s="8" t="str">
        <f>IF([1]All!$F15=0,"",[1]All!$F15)</f>
        <v>DBM 255196</v>
      </c>
    </row>
    <row r="15" spans="1:18">
      <c r="A15" s="7"/>
      <c r="B15" s="3">
        <f t="shared" si="0"/>
        <v>71</v>
      </c>
      <c r="C15" s="3" t="str">
        <f t="shared" si="1"/>
        <v>G</v>
      </c>
      <c r="D15" s="9" t="str">
        <f t="shared" si="2"/>
        <v>MIL-001-1080</v>
      </c>
      <c r="E15" s="3" t="str">
        <f t="shared" si="3"/>
        <v>ACJS  MIL-001-1080</v>
      </c>
      <c r="F15" s="10" t="str">
        <f t="shared" si="4"/>
        <v>PCCN: CRGARM:-:PLISN: ACJS :-:PCC: TIT :-: CAGE: 0UJB5:-:PART NUMBER: MIL-001-1080:-:NOMENCLATURE: NUT:-:PRICE: $205.28:-:UNIQUE MODS: NO:-:PROPRIETARILY MFG FOR OEM: NO:-: :-: :-: :-: :-: NHA: MIL-001-533 :-: NHA NSN: 3040015668374</v>
      </c>
      <c r="G15" s="8" t="str">
        <f>IF([1]All!$B16="","",[1]All!$B16)</f>
        <v xml:space="preserve">ACJS </v>
      </c>
      <c r="H15" s="8"/>
      <c r="I15" s="8" t="str">
        <f>IF([1]All!$D16=0,"",[1]All!$D16)</f>
        <v>G</v>
      </c>
      <c r="J15" s="8" t="str">
        <f>IF([1]All!$E16=0,"",[1]All!$E16)</f>
        <v>0UJB5</v>
      </c>
      <c r="K15" s="8" t="s">
        <v>17</v>
      </c>
      <c r="L15" s="11" t="str">
        <f>IF([1]All!$L16=0,"",[1]All!$L16)</f>
        <v>NUT</v>
      </c>
      <c r="M15" s="7" t="str">
        <f>IF([1]All!$AJ16=0,"",[1]All!$AJ16)</f>
        <v xml:space="preserve">ABHG </v>
      </c>
      <c r="N15" s="7" t="str">
        <f>IF([1]All!$R16=0,"",[1]All!$R16)</f>
        <v/>
      </c>
      <c r="O15" s="7" t="str">
        <f>IF([1]All!$S16=0,"",[1]All!$S16)</f>
        <v/>
      </c>
      <c r="P15" s="7" t="str">
        <f>IF([1]All!$V16=0,"",[1]All!$V16)</f>
        <v>0000020528</v>
      </c>
      <c r="Q15" s="3" t="str">
        <f t="shared" si="5"/>
        <v>$205.28</v>
      </c>
      <c r="R15" s="8" t="str">
        <f>IF([1]All!$F16=0,"",[1]All!$F16)</f>
        <v>MIL-001-1080</v>
      </c>
    </row>
    <row r="16" spans="1:18">
      <c r="A16" s="7"/>
      <c r="B16" s="3">
        <f t="shared" si="0"/>
        <v>71</v>
      </c>
      <c r="C16" s="3" t="str">
        <f t="shared" si="1"/>
        <v>G</v>
      </c>
      <c r="D16" s="9" t="str">
        <f t="shared" si="2"/>
        <v>GB415</v>
      </c>
      <c r="E16" s="3" t="str">
        <f t="shared" si="3"/>
        <v>ACQN  GB415</v>
      </c>
      <c r="F16" s="10" t="str">
        <f t="shared" si="4"/>
        <v>PCCN: CRGARM:-:PLISN: ACQN :-:PCC: TIT :-: CAGE: 0UJB5:-:PART NUMBER: GB415:-:NOMENCLATURE: SEAL, PLAIN:-:PRICE: $36.97:-:UNIQUE MODS: NO:-:PROPRIETARILY MFG FOR OEM: NO:-: :-: :-: :-:NSN: 5330015454400 :-: NHA: MIL-001-533 :-: NHA NSN: 3040015668374</v>
      </c>
      <c r="G16" s="8" t="str">
        <f>IF([1]All!$B17="","",[1]All!$B17)</f>
        <v xml:space="preserve">ACQN </v>
      </c>
      <c r="H16" s="8"/>
      <c r="I16" s="8" t="str">
        <f>IF([1]All!$D17=0,"",[1]All!$D17)</f>
        <v>G</v>
      </c>
      <c r="J16" s="8" t="str">
        <f>IF([1]All!$E17=0,"",[1]All!$E17)</f>
        <v>0UJB5</v>
      </c>
      <c r="K16" s="8" t="s">
        <v>18</v>
      </c>
      <c r="L16" s="11" t="str">
        <f>IF([1]All!$L17=0,"",[1]All!$L17)</f>
        <v>SEAL, PLAIN</v>
      </c>
      <c r="M16" s="7" t="str">
        <f>IF([1]All!$AJ17=0,"",[1]All!$AJ17)</f>
        <v xml:space="preserve">ABHG </v>
      </c>
      <c r="N16" s="7" t="str">
        <f>IF([1]All!$R17=0,"",[1]All!$R17)</f>
        <v>5330</v>
      </c>
      <c r="O16" s="7" t="str">
        <f>IF([1]All!$S17=0,"",[1]All!$S17)</f>
        <v>015454400</v>
      </c>
      <c r="P16" s="7" t="str">
        <f>IF([1]All!$V17=0,"",[1]All!$V17)</f>
        <v>0000003697</v>
      </c>
      <c r="Q16" s="3" t="str">
        <f t="shared" si="5"/>
        <v>$36.97</v>
      </c>
      <c r="R16" s="8" t="str">
        <f>IF([1]All!$F17=0,"",[1]All!$F17)</f>
        <v>GB415</v>
      </c>
    </row>
    <row r="17" spans="1:18">
      <c r="A17" s="7"/>
      <c r="B17" s="3">
        <f t="shared" si="0"/>
        <v>71</v>
      </c>
      <c r="C17" s="3" t="str">
        <f t="shared" si="1"/>
        <v>G</v>
      </c>
      <c r="D17" s="9" t="str">
        <f t="shared" si="2"/>
        <v>GW442</v>
      </c>
      <c r="E17" s="3" t="str">
        <f t="shared" si="3"/>
        <v>ACWJ  GW442</v>
      </c>
      <c r="F17" s="10" t="str">
        <f t="shared" si="4"/>
        <v>PCCN: CRGARM:-:PLISN: ACWJ :-:PCC: TIT :-: CAGE: 0UJB5:-:PART NUMBER: GW442:-:NOMENCLATURE: SEAL, PLAIN:-:PRICE: $10.53:-:UNIQUE MODS: NO:-:PROPRIETARILY MFG FOR OEM: NO:-: :-: :-: :-:NSN: 5330015461041 :-: NHA: MIL-001-533 :-: NHA NSN: 3040015668374</v>
      </c>
      <c r="G17" s="8" t="str">
        <f>IF([1]All!$B18="","",[1]All!$B18)</f>
        <v xml:space="preserve">ACWJ </v>
      </c>
      <c r="H17" s="8"/>
      <c r="I17" s="8" t="str">
        <f>IF([1]All!$D18=0,"",[1]All!$D18)</f>
        <v>G</v>
      </c>
      <c r="J17" s="8" t="str">
        <f>IF([1]All!$E18=0,"",[1]All!$E18)</f>
        <v>0UJB5</v>
      </c>
      <c r="K17" s="8" t="s">
        <v>19</v>
      </c>
      <c r="L17" s="11" t="str">
        <f>IF([1]All!$L18=0,"",[1]All!$L18)</f>
        <v>SEAL, PLAIN</v>
      </c>
      <c r="M17" s="7" t="str">
        <f>IF([1]All!$AJ18=0,"",[1]All!$AJ18)</f>
        <v xml:space="preserve">ABHG </v>
      </c>
      <c r="N17" s="7" t="str">
        <f>IF([1]All!$R18=0,"",[1]All!$R18)</f>
        <v>5330</v>
      </c>
      <c r="O17" s="7" t="str">
        <f>IF([1]All!$S18=0,"",[1]All!$S18)</f>
        <v>015461041</v>
      </c>
      <c r="P17" s="7" t="str">
        <f>IF([1]All!$V18=0,"",[1]All!$V18)</f>
        <v>0000001053</v>
      </c>
      <c r="Q17" s="3" t="str">
        <f t="shared" si="5"/>
        <v>$10.53</v>
      </c>
      <c r="R17" s="8" t="str">
        <f>IF([1]All!$F18=0,"",[1]All!$F18)</f>
        <v>GW442</v>
      </c>
    </row>
    <row r="18" spans="1:18">
      <c r="A18" s="7"/>
      <c r="B18" s="3">
        <f t="shared" si="0"/>
        <v>71</v>
      </c>
      <c r="C18" s="3" t="str">
        <f t="shared" si="1"/>
        <v>G</v>
      </c>
      <c r="D18" s="9" t="str">
        <f t="shared" si="2"/>
        <v>MIL-001-1083</v>
      </c>
      <c r="E18" s="3" t="str">
        <f t="shared" si="3"/>
        <v>AC2E  MIL-001-1083</v>
      </c>
      <c r="F18" s="10" t="str">
        <f t="shared" si="4"/>
        <v>PCCN: CRGARM:-:PLISN: AC2E :-:PCC: TIT :-: CAGE: 0UJB5:-:PART NUMBER: MIL-001-1083:-:NOMENCLATURE: O-RING:-:PRICE: $0.66:-:UNIQUE MODS: NO:-:PROPRIETARILY MFG FOR OEM: NO:-: :-: :-: :-: :-: NHA: MIL-001-533 :-: NHA NSN: 3040015668374</v>
      </c>
      <c r="G18" s="8" t="str">
        <f>IF([1]All!$B19="","",[1]All!$B19)</f>
        <v xml:space="preserve">AC2E </v>
      </c>
      <c r="H18" s="8"/>
      <c r="I18" s="8" t="str">
        <f>IF([1]All!$D19=0,"",[1]All!$D19)</f>
        <v>G</v>
      </c>
      <c r="J18" s="8" t="str">
        <f>IF([1]All!$E19=0,"",[1]All!$E19)</f>
        <v>0UJB5</v>
      </c>
      <c r="K18" s="8" t="s">
        <v>20</v>
      </c>
      <c r="L18" s="11" t="str">
        <f>IF([1]All!$L19=0,"",[1]All!$L19)</f>
        <v>O-RING</v>
      </c>
      <c r="M18" s="7" t="str">
        <f>IF([1]All!$AJ19=0,"",[1]All!$AJ19)</f>
        <v xml:space="preserve">ABHG </v>
      </c>
      <c r="N18" s="7" t="str">
        <f>IF([1]All!$R19=0,"",[1]All!$R19)</f>
        <v/>
      </c>
      <c r="O18" s="7" t="str">
        <f>IF([1]All!$S19=0,"",[1]All!$S19)</f>
        <v/>
      </c>
      <c r="P18" s="7" t="str">
        <f>IF([1]All!$V19=0,"",[1]All!$V19)</f>
        <v>0000000066</v>
      </c>
      <c r="Q18" s="3" t="str">
        <f t="shared" si="5"/>
        <v>$0.66</v>
      </c>
      <c r="R18" s="8" t="str">
        <f>IF([1]All!$F19=0,"",[1]All!$F19)</f>
        <v>MIL-001-1083</v>
      </c>
    </row>
    <row r="19" spans="1:18">
      <c r="A19" s="7"/>
      <c r="B19" s="3">
        <f t="shared" si="0"/>
        <v>71</v>
      </c>
      <c r="C19" s="3" t="str">
        <f t="shared" si="1"/>
        <v>G</v>
      </c>
      <c r="D19" s="9" t="str">
        <f t="shared" si="2"/>
        <v>MIL-001-1084</v>
      </c>
      <c r="E19" s="3" t="str">
        <f t="shared" si="3"/>
        <v>AC8A  MIL-001-1084</v>
      </c>
      <c r="F19" s="10" t="str">
        <f t="shared" si="4"/>
        <v>PCCN: CRGARM:-:PLISN: AC8A :-:PCC: TIT :-: CAGE: 0UJB5:-:PART NUMBER: MIL-001-1084:-:NOMENCLATURE: RING, SPLIT:-:PRICE: $6.11:-:UNIQUE MODS: NO:-:PROPRIETARILY MFG FOR OEM: NO:-: :-: :-: :-: :-: NHA: MIL-001-533 :-: NHA NSN: 3040015668374</v>
      </c>
      <c r="G19" s="8" t="str">
        <f>IF([1]All!$B20="","",[1]All!$B20)</f>
        <v xml:space="preserve">AC8A </v>
      </c>
      <c r="H19" s="8"/>
      <c r="I19" s="8" t="str">
        <f>IF([1]All!$D20=0,"",[1]All!$D20)</f>
        <v>G</v>
      </c>
      <c r="J19" s="8" t="str">
        <f>IF([1]All!$E20=0,"",[1]All!$E20)</f>
        <v>0UJB5</v>
      </c>
      <c r="K19" s="8" t="s">
        <v>21</v>
      </c>
      <c r="L19" s="11" t="str">
        <f>IF([1]All!$L20=0,"",[1]All!$L20)</f>
        <v>RING, SPLIT</v>
      </c>
      <c r="M19" s="7" t="str">
        <f>IF([1]All!$AJ20=0,"",[1]All!$AJ20)</f>
        <v xml:space="preserve">ABHG </v>
      </c>
      <c r="N19" s="7" t="str">
        <f>IF([1]All!$R20=0,"",[1]All!$R20)</f>
        <v/>
      </c>
      <c r="O19" s="7" t="str">
        <f>IF([1]All!$S20=0,"",[1]All!$S20)</f>
        <v/>
      </c>
      <c r="P19" s="7" t="str">
        <f>IF([1]All!$V20=0,"",[1]All!$V20)</f>
        <v>0000000611</v>
      </c>
      <c r="Q19" s="3" t="str">
        <f t="shared" si="5"/>
        <v>$6.11</v>
      </c>
      <c r="R19" s="8" t="str">
        <f>IF([1]All!$F20=0,"",[1]All!$F20)</f>
        <v>MIL-001-1084</v>
      </c>
    </row>
    <row r="20" spans="1:18">
      <c r="A20" s="7"/>
      <c r="B20" s="3">
        <f t="shared" si="0"/>
        <v>71</v>
      </c>
      <c r="C20" s="3" t="str">
        <f t="shared" si="1"/>
        <v>G</v>
      </c>
      <c r="D20" s="9" t="str">
        <f t="shared" si="2"/>
        <v>MIL-001-1085</v>
      </c>
      <c r="E20" s="3" t="str">
        <f t="shared" si="3"/>
        <v>ADD6  MIL-001-1085</v>
      </c>
      <c r="F20" s="10" t="str">
        <f t="shared" si="4"/>
        <v>PCCN: CRGARM:-:PLISN: ADD6 :-:PCC: TIT :-: CAGE: 0UJB5:-:PART NUMBER: MIL-001-1085:-:NOMENCLATURE: END,LINEAR ACTUATIN:-:PRICE: $210.00:-:UNIQUE MODS: NO:-:PROPRIETARILY MFG FOR OEM: NO:-: :-: :-: :-: :-: NHA: MIL-001-533 :-: NHA NSN: 3040015668374</v>
      </c>
      <c r="G20" s="8" t="str">
        <f>IF([1]All!$B21="","",[1]All!$B21)</f>
        <v xml:space="preserve">ADD6 </v>
      </c>
      <c r="H20" s="8"/>
      <c r="I20" s="8" t="str">
        <f>IF([1]All!$D21=0,"",[1]All!$D21)</f>
        <v>G</v>
      </c>
      <c r="J20" s="8" t="str">
        <f>IF([1]All!$E21=0,"",[1]All!$E21)</f>
        <v>0UJB5</v>
      </c>
      <c r="K20" s="8" t="s">
        <v>22</v>
      </c>
      <c r="L20" s="11" t="str">
        <f>IF([1]All!$L21=0,"",[1]All!$L21)</f>
        <v>END,LINEAR ACTUATIN</v>
      </c>
      <c r="M20" s="7" t="str">
        <f>IF([1]All!$AJ21=0,"",[1]All!$AJ21)</f>
        <v xml:space="preserve">ABHG </v>
      </c>
      <c r="N20" s="7" t="str">
        <f>IF([1]All!$R21=0,"",[1]All!$R21)</f>
        <v/>
      </c>
      <c r="O20" s="7" t="str">
        <f>IF([1]All!$S21=0,"",[1]All!$S21)</f>
        <v/>
      </c>
      <c r="P20" s="7" t="str">
        <f>IF([1]All!$V21=0,"",[1]All!$V21)</f>
        <v>0000021000</v>
      </c>
      <c r="Q20" s="3" t="str">
        <f t="shared" si="5"/>
        <v>$210.00</v>
      </c>
      <c r="R20" s="8" t="str">
        <f>IF([1]All!$F21=0,"",[1]All!$F21)</f>
        <v>MIL-001-1085</v>
      </c>
    </row>
    <row r="21" spans="1:18">
      <c r="A21" s="7"/>
      <c r="B21" s="3">
        <f t="shared" si="0"/>
        <v>71</v>
      </c>
      <c r="C21" s="3" t="str">
        <f t="shared" si="1"/>
        <v>G</v>
      </c>
      <c r="D21" s="9" t="str">
        <f t="shared" si="2"/>
        <v>MIL-001-1086</v>
      </c>
      <c r="E21" s="3" t="str">
        <f t="shared" si="3"/>
        <v>ADK2  MIL-001-1086</v>
      </c>
      <c r="F21" s="10" t="str">
        <f t="shared" si="4"/>
        <v>PCCN: CRGARM:-:PLISN: ADK2 :-:PCC: TIT :-: CAGE: 0UJB5:-:PART NUMBER: MIL-001-1086:-:NOMENCLATURE: SPACER:-:PRICE: $37.65:-:UNIQUE MODS: NO:-:PROPRIETARILY MFG FOR OEM: NO:-: :-: :-: :-: :-: NHA: MIL-001-533 :-: NHA NSN: 3040015668374</v>
      </c>
      <c r="G21" s="8" t="str">
        <f>IF([1]All!$B22="","",[1]All!$B22)</f>
        <v xml:space="preserve">ADK2 </v>
      </c>
      <c r="H21" s="8"/>
      <c r="I21" s="8" t="str">
        <f>IF([1]All!$D22=0,"",[1]All!$D22)</f>
        <v>G</v>
      </c>
      <c r="J21" s="8" t="str">
        <f>IF([1]All!$E22=0,"",[1]All!$E22)</f>
        <v>0UJB5</v>
      </c>
      <c r="K21" s="8" t="s">
        <v>23</v>
      </c>
      <c r="L21" s="11" t="str">
        <f>IF([1]All!$L22=0,"",[1]All!$L22)</f>
        <v>SPACER</v>
      </c>
      <c r="M21" s="7" t="str">
        <f>IF([1]All!$AJ22=0,"",[1]All!$AJ22)</f>
        <v xml:space="preserve">ABHG </v>
      </c>
      <c r="N21" s="7" t="str">
        <f>IF([1]All!$R22=0,"",[1]All!$R22)</f>
        <v/>
      </c>
      <c r="O21" s="7" t="str">
        <f>IF([1]All!$S22=0,"",[1]All!$S22)</f>
        <v/>
      </c>
      <c r="P21" s="7" t="str">
        <f>IF([1]All!$V22=0,"",[1]All!$V22)</f>
        <v>0000003765</v>
      </c>
      <c r="Q21" s="3" t="str">
        <f t="shared" si="5"/>
        <v>$37.65</v>
      </c>
      <c r="R21" s="8" t="str">
        <f>IF([1]All!$F22=0,"",[1]All!$F22)</f>
        <v>MIL-001-1086</v>
      </c>
    </row>
    <row r="22" spans="1:18">
      <c r="A22" s="7"/>
      <c r="B22" s="3">
        <f t="shared" si="0"/>
        <v>71</v>
      </c>
      <c r="C22" s="3" t="str">
        <f t="shared" si="1"/>
        <v>G</v>
      </c>
      <c r="D22" s="9" t="str">
        <f t="shared" si="2"/>
        <v>93245A155</v>
      </c>
      <c r="E22" s="3" t="str">
        <f t="shared" si="3"/>
        <v>ADRY  93245A155</v>
      </c>
      <c r="F22" s="10" t="str">
        <f t="shared" si="4"/>
        <v>PCCN: CRGARM:-:PLISN: ADRY :-:PCC: TIT :-: CAGE: 39428:-:PART NUMBER: 93245A155:-:NOMENCLATURE: SCREW,SET:-:PRICE: $2.40:-:UNIQUE MODS: NO:-:PROPRIETARILY MFG FOR OEM: NO:-: :-: :-: :-: :-: NHA: MIL-001-533 :-: NHA NSN: 3040015668374</v>
      </c>
      <c r="G22" s="8" t="str">
        <f>IF([1]All!$B23="","",[1]All!$B23)</f>
        <v xml:space="preserve">ADRY </v>
      </c>
      <c r="H22" s="8"/>
      <c r="I22" s="8" t="str">
        <f>IF([1]All!$D23=0,"",[1]All!$D23)</f>
        <v>G</v>
      </c>
      <c r="J22" s="8" t="str">
        <f>IF([1]All!$E23=0,"",[1]All!$E23)</f>
        <v>39428</v>
      </c>
      <c r="K22" s="8" t="s">
        <v>428</v>
      </c>
      <c r="L22" s="11" t="str">
        <f>IF([1]All!$L23=0,"",[1]All!$L23)</f>
        <v>SCREW,SET</v>
      </c>
      <c r="M22" s="7" t="str">
        <f>IF([1]All!$AJ23=0,"",[1]All!$AJ23)</f>
        <v xml:space="preserve">ABHG </v>
      </c>
      <c r="N22" s="7" t="str">
        <f>IF([1]All!$R23=0,"",[1]All!$R23)</f>
        <v/>
      </c>
      <c r="O22" s="7" t="str">
        <f>IF([1]All!$S23=0,"",[1]All!$S23)</f>
        <v/>
      </c>
      <c r="P22" s="7" t="str">
        <f>IF([1]All!$V23=0,"",[1]All!$V23)</f>
        <v>0000000240</v>
      </c>
      <c r="Q22" s="3" t="str">
        <f t="shared" si="5"/>
        <v>$2.40</v>
      </c>
      <c r="R22" s="8" t="str">
        <f>IF([1]All!$F23=0,"",[1]All!$F23)</f>
        <v>93245A155</v>
      </c>
    </row>
    <row r="23" spans="1:18">
      <c r="A23" s="7"/>
      <c r="B23" s="3">
        <f t="shared" si="0"/>
        <v>70</v>
      </c>
      <c r="C23" s="3" t="str">
        <f t="shared" si="1"/>
        <v>F</v>
      </c>
      <c r="D23" s="9" t="str">
        <f t="shared" si="2"/>
        <v>MIL-001-489</v>
      </c>
      <c r="E23" s="3" t="str">
        <f t="shared" si="3"/>
        <v>ADXU  MIL-001-489</v>
      </c>
      <c r="F23" s="10" t="str">
        <f t="shared" si="4"/>
        <v>PCCN: CRGARM:-:PLISN: ADXU :-:PCC: TIT :-: CAGE: 0UJB5:-:PART NUMBER: MIL-001-489:-:NOMENCLATURE: VALVE ASSEMBLY:-:PRICE: $279.84:-:UNIQUE MODS: NO:-:PROPRIETARILY MFG FOR OEM: NO:-: :-: :-: :-:NSN: 4820015672345 :-: NHA: MIL-001-067 :-: NHA NSN: 3040015668242</v>
      </c>
      <c r="G23" s="8" t="str">
        <f>IF([1]All!$B24="","",[1]All!$B24)</f>
        <v xml:space="preserve">ADXU </v>
      </c>
      <c r="H23" s="8"/>
      <c r="I23" s="8" t="str">
        <f>IF([1]All!$D24=0,"",[1]All!$D24)</f>
        <v>F</v>
      </c>
      <c r="J23" s="8" t="str">
        <f>IF([1]All!$E24=0,"",[1]All!$E24)</f>
        <v>0UJB5</v>
      </c>
      <c r="K23" s="8" t="s">
        <v>24</v>
      </c>
      <c r="L23" s="11" t="str">
        <f>IF([1]All!$L24=0,"",[1]All!$L24)</f>
        <v>VALVE ASSEMBLY</v>
      </c>
      <c r="M23" s="7" t="str">
        <f>IF([1]All!$AJ24=0,"",[1]All!$AJ24)</f>
        <v xml:space="preserve">ABBL </v>
      </c>
      <c r="N23" s="7" t="str">
        <f>IF([1]All!$R24=0,"",[1]All!$R24)</f>
        <v>4820</v>
      </c>
      <c r="O23" s="7" t="str">
        <f>IF([1]All!$S24=0,"",[1]All!$S24)</f>
        <v>015672345</v>
      </c>
      <c r="P23" s="7" t="str">
        <f>IF([1]All!$V24=0,"",[1]All!$V24)</f>
        <v>0000027984</v>
      </c>
      <c r="Q23" s="3" t="str">
        <f t="shared" si="5"/>
        <v>$279.84</v>
      </c>
      <c r="R23" s="8" t="str">
        <f>IF([1]All!$F24=0,"",[1]All!$F24)</f>
        <v>MIL-001-489</v>
      </c>
    </row>
    <row r="24" spans="1:18">
      <c r="A24" s="7"/>
      <c r="B24" s="3">
        <f t="shared" si="0"/>
        <v>70</v>
      </c>
      <c r="C24" s="3" t="str">
        <f t="shared" si="1"/>
        <v>F</v>
      </c>
      <c r="D24" s="9" t="str">
        <f t="shared" si="2"/>
        <v>V1593</v>
      </c>
      <c r="E24" s="3" t="str">
        <f t="shared" si="3"/>
        <v>AD3Q  V1593</v>
      </c>
      <c r="F24" s="10" t="str">
        <f t="shared" si="4"/>
        <v>PCCN: CRGARM:-:PLISN: AD3Q :-:PCC: TIT :-: CAGE: 0UJB5:-:PART NUMBER: V1593:-:NOMENCLATURE: SCREW,CAP,HEXAGON H:-:PRICE: $5.09:-:UNIQUE MODS: NO:-:PROPRIETARILY MFG FOR OEM: NO:-: :-: :-: :-:NSN: 5305015451447 :-: NHA: MIL-001-067 :-: NHA NSN: 3040015668242</v>
      </c>
      <c r="G24" s="8" t="str">
        <f>IF([1]All!$B25="","",[1]All!$B25)</f>
        <v xml:space="preserve">AD3Q </v>
      </c>
      <c r="H24" s="8"/>
      <c r="I24" s="8" t="str">
        <f>IF([1]All!$D25=0,"",[1]All!$D25)</f>
        <v>F</v>
      </c>
      <c r="J24" s="8" t="str">
        <f>IF([1]All!$E25=0,"",[1]All!$E25)</f>
        <v>0UJB5</v>
      </c>
      <c r="K24" s="8" t="s">
        <v>25</v>
      </c>
      <c r="L24" s="11" t="str">
        <f>IF([1]All!$L25=0,"",[1]All!$L25)</f>
        <v>SCREW,CAP,HEXAGON H</v>
      </c>
      <c r="M24" s="7" t="str">
        <f>IF([1]All!$AJ25=0,"",[1]All!$AJ25)</f>
        <v xml:space="preserve">ABBL </v>
      </c>
      <c r="N24" s="7" t="str">
        <f>IF([1]All!$R25=0,"",[1]All!$R25)</f>
        <v>5305</v>
      </c>
      <c r="O24" s="7" t="str">
        <f>IF([1]All!$S25=0,"",[1]All!$S25)</f>
        <v>015451447</v>
      </c>
      <c r="P24" s="7" t="str">
        <f>IF([1]All!$V25=0,"",[1]All!$V25)</f>
        <v>0000000509</v>
      </c>
      <c r="Q24" s="3" t="str">
        <f t="shared" si="5"/>
        <v>$5.09</v>
      </c>
      <c r="R24" s="8" t="str">
        <f>IF([1]All!$F25=0,"",[1]All!$F25)</f>
        <v>V1593</v>
      </c>
    </row>
    <row r="25" spans="1:18">
      <c r="A25" s="7"/>
      <c r="B25" s="3">
        <f t="shared" si="0"/>
        <v>70</v>
      </c>
      <c r="C25" s="3" t="str">
        <f t="shared" si="1"/>
        <v>F</v>
      </c>
      <c r="D25" s="9" t="str">
        <f t="shared" si="2"/>
        <v>RP201</v>
      </c>
      <c r="E25" s="3" t="str">
        <f t="shared" si="3"/>
        <v>AD9L  RP201</v>
      </c>
      <c r="F25" s="10" t="str">
        <f t="shared" si="4"/>
        <v>PCCN: CRGARM:-:PLISN: AD9L :-:PCC: TIT :-: CAGE: 0UJB5:-:PART NUMBER: RP201:-:NOMENCLATURE: WASHER,FLAT:-:PRICE: $4.23:-:UNIQUE MODS: NO:-:PROPRIETARILY MFG FOR OEM: NO:-: :-: :-: :-:NSN: 5310015469032 :-: NHA: MIL-001-067 :-: NHA NSN: 3040015668242</v>
      </c>
      <c r="G25" s="8" t="str">
        <f>IF([1]All!$B26="","",[1]All!$B26)</f>
        <v xml:space="preserve">AD9L </v>
      </c>
      <c r="H25" s="8"/>
      <c r="I25" s="8" t="str">
        <f>IF([1]All!$D26=0,"",[1]All!$D26)</f>
        <v>F</v>
      </c>
      <c r="J25" s="8" t="str">
        <f>IF([1]All!$E26=0,"",[1]All!$E26)</f>
        <v>0UJB5</v>
      </c>
      <c r="K25" s="8" t="s">
        <v>26</v>
      </c>
      <c r="L25" s="11" t="str">
        <f>IF([1]All!$L26=0,"",[1]All!$L26)</f>
        <v>WASHER,FLAT</v>
      </c>
      <c r="M25" s="7" t="str">
        <f>IF([1]All!$AJ26=0,"",[1]All!$AJ26)</f>
        <v xml:space="preserve">ABBL </v>
      </c>
      <c r="N25" s="7" t="str">
        <f>IF([1]All!$R26=0,"",[1]All!$R26)</f>
        <v>5310</v>
      </c>
      <c r="O25" s="7" t="str">
        <f>IF([1]All!$S26=0,"",[1]All!$S26)</f>
        <v>015469032</v>
      </c>
      <c r="P25" s="7" t="str">
        <f>IF([1]All!$V26=0,"",[1]All!$V26)</f>
        <v>0000000423</v>
      </c>
      <c r="Q25" s="3" t="str">
        <f t="shared" si="5"/>
        <v>$4.23</v>
      </c>
      <c r="R25" s="8" t="str">
        <f>IF([1]All!$F26=0,"",[1]All!$F26)</f>
        <v>RP201</v>
      </c>
    </row>
    <row r="26" spans="1:18">
      <c r="A26" s="7"/>
      <c r="B26" s="3">
        <f t="shared" si="0"/>
        <v>70</v>
      </c>
      <c r="C26" s="3" t="str">
        <f t="shared" si="1"/>
        <v>F</v>
      </c>
      <c r="D26" s="9" t="str">
        <f t="shared" si="2"/>
        <v>90576A115</v>
      </c>
      <c r="E26" s="3" t="str">
        <f t="shared" si="3"/>
        <v>AEFG  90576A115</v>
      </c>
      <c r="F26" s="10" t="str">
        <f t="shared" si="4"/>
        <v>PCCN: CRGARM:-:PLISN: AEFG :-:PCC: TIT :-: CAGE: 39428:-:PART NUMBER: 90576A115:-:NOMENCLATURE: NUT,SELF-LOCKING,HE:-:PRICE: $0.09:-:UNIQUE MODS: NO:-:PROPRIETARILY MFG FOR OEM: NO:-: :-: :-: :-:NSN: 5310014147135 :-: NHA: MIL-001-067 :-: NHA NSN: 3040015668242</v>
      </c>
      <c r="G26" s="8" t="str">
        <f>IF([1]All!$B27="","",[1]All!$B27)</f>
        <v xml:space="preserve">AEFG </v>
      </c>
      <c r="H26" s="8"/>
      <c r="I26" s="8" t="str">
        <f>IF([1]All!$D27=0,"",[1]All!$D27)</f>
        <v>F</v>
      </c>
      <c r="J26" s="8" t="str">
        <f>IF([1]All!$E27=0,"",[1]All!$E27)</f>
        <v>39428</v>
      </c>
      <c r="K26" s="8" t="s">
        <v>27</v>
      </c>
      <c r="L26" s="11" t="str">
        <f>IF([1]All!$L27=0,"",[1]All!$L27)</f>
        <v>NUT,SELF-LOCKING,HE</v>
      </c>
      <c r="M26" s="7" t="str">
        <f>IF([1]All!$AJ27=0,"",[1]All!$AJ27)</f>
        <v xml:space="preserve">ABBL </v>
      </c>
      <c r="N26" s="7" t="str">
        <f>IF([1]All!$R27=0,"",[1]All!$R27)</f>
        <v>5310</v>
      </c>
      <c r="O26" s="7" t="str">
        <f>IF([1]All!$S27=0,"",[1]All!$S27)</f>
        <v>014147135</v>
      </c>
      <c r="P26" s="7" t="str">
        <f>IF([1]All!$V27=0,"",[1]All!$V27)</f>
        <v>0000000009</v>
      </c>
      <c r="Q26" s="3" t="str">
        <f t="shared" si="5"/>
        <v>$0.09</v>
      </c>
      <c r="R26" s="8" t="str">
        <f>IF([1]All!$F27=0,"",[1]All!$F27)</f>
        <v>90576A115</v>
      </c>
    </row>
    <row r="27" spans="1:18">
      <c r="A27" s="7"/>
      <c r="B27" s="3">
        <f t="shared" si="0"/>
        <v>70</v>
      </c>
      <c r="C27" s="3" t="str">
        <f t="shared" si="1"/>
        <v>F</v>
      </c>
      <c r="D27" s="9" t="str">
        <f t="shared" si="2"/>
        <v>NI946</v>
      </c>
      <c r="E27" s="3" t="str">
        <f t="shared" si="3"/>
        <v>AEMC  NI946</v>
      </c>
      <c r="F27" s="10" t="str">
        <f t="shared" si="4"/>
        <v>PCCN: CRGARM:-:PLISN: AEMC :-:PCC: TIT :-: CAGE: 0UJB5:-:PART NUMBER: NI946:-:NOMENCLATURE: ADAPTER,STRAIGHT,PI:-:PRICE: $13.22:-:UNIQUE MODS: NO:-:PROPRIETARILY MFG FOR OEM: NO:-: :-: :-: :-:NSN: 4730015475410 :-: NHA: MIL-001-067 :-: NHA NSN: 3040015668242</v>
      </c>
      <c r="G27" s="8" t="str">
        <f>IF([1]All!$B28="","",[1]All!$B28)</f>
        <v xml:space="preserve">AEMC </v>
      </c>
      <c r="H27" s="8"/>
      <c r="I27" s="8" t="str">
        <f>IF([1]All!$D28=0,"",[1]All!$D28)</f>
        <v>F</v>
      </c>
      <c r="J27" s="8" t="str">
        <f>IF([1]All!$E28=0,"",[1]All!$E28)</f>
        <v>0UJB5</v>
      </c>
      <c r="K27" s="8" t="s">
        <v>28</v>
      </c>
      <c r="L27" s="11" t="str">
        <f>IF([1]All!$L28=0,"",[1]All!$L28)</f>
        <v>ADAPTER,STRAIGHT,PI</v>
      </c>
      <c r="M27" s="7" t="str">
        <f>IF([1]All!$AJ28=0,"",[1]All!$AJ28)</f>
        <v xml:space="preserve">ABBL </v>
      </c>
      <c r="N27" s="7" t="str">
        <f>IF([1]All!$R28=0,"",[1]All!$R28)</f>
        <v>4730</v>
      </c>
      <c r="O27" s="7" t="str">
        <f>IF([1]All!$S28=0,"",[1]All!$S28)</f>
        <v>015475410</v>
      </c>
      <c r="P27" s="7" t="str">
        <f>IF([1]All!$V28=0,"",[1]All!$V28)</f>
        <v>0000001322</v>
      </c>
      <c r="Q27" s="3" t="str">
        <f t="shared" si="5"/>
        <v>$13.22</v>
      </c>
      <c r="R27" s="8" t="str">
        <f>IF([1]All!$F28=0,"",[1]All!$F28)</f>
        <v>NI946</v>
      </c>
    </row>
    <row r="28" spans="1:18">
      <c r="A28" s="7"/>
      <c r="B28" s="3">
        <f t="shared" si="0"/>
        <v>70</v>
      </c>
      <c r="C28" s="3" t="str">
        <f t="shared" si="1"/>
        <v>F</v>
      </c>
      <c r="D28" s="9" t="str">
        <f t="shared" si="2"/>
        <v>RS967</v>
      </c>
      <c r="E28" s="3" t="str">
        <f t="shared" si="3"/>
        <v>AES8  RS967</v>
      </c>
      <c r="F28" s="10" t="str">
        <f t="shared" si="4"/>
        <v>PCCN: CRGARM:-:PLISN: AES8 :-:PCC: TIT :-: CAGE: 0UJB5:-:PART NUMBER: RS967:-:NOMENCLATURE: ELBOW,PIPE TO TUBE:-:PRICE: $31.88:-:UNIQUE MODS: NO:-:PROPRIETARILY MFG FOR OEM: NO:-: :-: :-: :-:NSN: 4730015470026 :-: NHA: MIL-001-067 :-: NHA NSN: 3040015668242</v>
      </c>
      <c r="G28" s="8" t="str">
        <f>IF([1]All!$B29="","",[1]All!$B29)</f>
        <v xml:space="preserve">AES8 </v>
      </c>
      <c r="H28" s="8"/>
      <c r="I28" s="8" t="str">
        <f>IF([1]All!$D29=0,"",[1]All!$D29)</f>
        <v>F</v>
      </c>
      <c r="J28" s="8" t="str">
        <f>IF([1]All!$E29=0,"",[1]All!$E29)</f>
        <v>0UJB5</v>
      </c>
      <c r="K28" s="8" t="s">
        <v>29</v>
      </c>
      <c r="L28" s="11" t="str">
        <f>IF([1]All!$L29=0,"",[1]All!$L29)</f>
        <v>ELBOW,PIPE TO TUBE</v>
      </c>
      <c r="M28" s="7" t="str">
        <f>IF([1]All!$AJ29=0,"",[1]All!$AJ29)</f>
        <v xml:space="preserve">ABBL </v>
      </c>
      <c r="N28" s="7" t="str">
        <f>IF([1]All!$R29=0,"",[1]All!$R29)</f>
        <v>4730</v>
      </c>
      <c r="O28" s="7" t="str">
        <f>IF([1]All!$S29=0,"",[1]All!$S29)</f>
        <v>015470026</v>
      </c>
      <c r="P28" s="7" t="str">
        <f>IF([1]All!$V29=0,"",[1]All!$V29)</f>
        <v>0000003188</v>
      </c>
      <c r="Q28" s="3" t="str">
        <f t="shared" si="5"/>
        <v>$31.88</v>
      </c>
      <c r="R28" s="8" t="str">
        <f>IF([1]All!$F29=0,"",[1]All!$F29)</f>
        <v>RS967</v>
      </c>
    </row>
    <row r="29" spans="1:18">
      <c r="A29" s="7"/>
      <c r="B29" s="3">
        <f t="shared" si="0"/>
        <v>70</v>
      </c>
      <c r="C29" s="3" t="str">
        <f t="shared" si="1"/>
        <v>F</v>
      </c>
      <c r="D29" s="9" t="str">
        <f t="shared" si="2"/>
        <v>RV906</v>
      </c>
      <c r="E29" s="3" t="str">
        <f t="shared" si="3"/>
        <v>AEY4  RV906</v>
      </c>
      <c r="F29" s="10" t="str">
        <f t="shared" si="4"/>
        <v>PCCN: CRGARM:-:PLISN: AEY4 :-:PCC: TIT :-: CAGE: 0UJB5:-:PART NUMBER: RV906:-:NOMENCLATURE: ADAPTER,STRAIGHT,PI:-:PRICE: $31.92:-:UNIQUE MODS: NO:-:PROPRIETARILY MFG FOR OEM: NO:-: :-: :-: :-:NSN: 4730015475011 :-: NHA: MIL-001-067 :-: NHA NSN: 3040015668242</v>
      </c>
      <c r="G29" s="8" t="str">
        <f>IF([1]All!$B30="","",[1]All!$B30)</f>
        <v xml:space="preserve">AEY4 </v>
      </c>
      <c r="H29" s="8"/>
      <c r="I29" s="8" t="str">
        <f>IF([1]All!$D30=0,"",[1]All!$D30)</f>
        <v>F</v>
      </c>
      <c r="J29" s="8" t="str">
        <f>IF([1]All!$E30=0,"",[1]All!$E30)</f>
        <v>0UJB5</v>
      </c>
      <c r="K29" s="8" t="s">
        <v>30</v>
      </c>
      <c r="L29" s="11" t="str">
        <f>IF([1]All!$L30=0,"",[1]All!$L30)</f>
        <v>ADAPTER,STRAIGHT,PI</v>
      </c>
      <c r="M29" s="7" t="str">
        <f>IF([1]All!$AJ30=0,"",[1]All!$AJ30)</f>
        <v xml:space="preserve">ABBL </v>
      </c>
      <c r="N29" s="7" t="str">
        <f>IF([1]All!$R30=0,"",[1]All!$R30)</f>
        <v>4730</v>
      </c>
      <c r="O29" s="7" t="str">
        <f>IF([1]All!$S30=0,"",[1]All!$S30)</f>
        <v>015475011</v>
      </c>
      <c r="P29" s="7" t="str">
        <f>IF([1]All!$V30=0,"",[1]All!$V30)</f>
        <v>0000003192</v>
      </c>
      <c r="Q29" s="3" t="str">
        <f t="shared" si="5"/>
        <v>$31.92</v>
      </c>
      <c r="R29" s="8" t="str">
        <f>IF([1]All!$F30=0,"",[1]All!$F30)</f>
        <v>RV906</v>
      </c>
    </row>
    <row r="30" spans="1:18">
      <c r="A30" s="7"/>
      <c r="B30" s="3">
        <f t="shared" si="0"/>
        <v>70</v>
      </c>
      <c r="C30" s="3" t="str">
        <f t="shared" si="1"/>
        <v>F</v>
      </c>
      <c r="D30" s="9" t="str">
        <f t="shared" si="2"/>
        <v>MIL-001-540</v>
      </c>
      <c r="E30" s="3" t="str">
        <f t="shared" si="3"/>
        <v>AE40  MIL-001-540</v>
      </c>
      <c r="F30" s="10" t="str">
        <f t="shared" si="4"/>
        <v>PCCN: CRGARM:-:PLISN: AE40 :-:PCC: TIT :-: CAGE: 0UJB5:-:PART NUMBER: MIL-001-540:-:NOMENCLATURE: TUBE ASSEMBLY,METAL:-:PRICE: $48.71:-:UNIQUE MODS: NO:-:PROPRIETARILY MFG FOR OEM: NO:-: :-: :-: :-:NSN: 4710015667880 :-: NHA: MIL-001-067 :-: NHA NSN: 3040015668242</v>
      </c>
      <c r="G30" s="8" t="str">
        <f>IF([1]All!$B31="","",[1]All!$B31)</f>
        <v xml:space="preserve">AE40 </v>
      </c>
      <c r="H30" s="8"/>
      <c r="I30" s="8" t="str">
        <f>IF([1]All!$D31=0,"",[1]All!$D31)</f>
        <v>F</v>
      </c>
      <c r="J30" s="8" t="str">
        <f>IF([1]All!$E31=0,"",[1]All!$E31)</f>
        <v>0UJB5</v>
      </c>
      <c r="K30" s="8" t="s">
        <v>31</v>
      </c>
      <c r="L30" s="11" t="str">
        <f>IF([1]All!$L31=0,"",[1]All!$L31)</f>
        <v>TUBE ASSEMBLY,METAL</v>
      </c>
      <c r="M30" s="7" t="str">
        <f>IF([1]All!$AJ31=0,"",[1]All!$AJ31)</f>
        <v xml:space="preserve">ABBL </v>
      </c>
      <c r="N30" s="7" t="str">
        <f>IF([1]All!$R31=0,"",[1]All!$R31)</f>
        <v>4710</v>
      </c>
      <c r="O30" s="7" t="str">
        <f>IF([1]All!$S31=0,"",[1]All!$S31)</f>
        <v>015667880</v>
      </c>
      <c r="P30" s="7" t="str">
        <f>IF([1]All!$V31=0,"",[1]All!$V31)</f>
        <v>0000004871</v>
      </c>
      <c r="Q30" s="3" t="str">
        <f t="shared" si="5"/>
        <v>$48.71</v>
      </c>
      <c r="R30" s="8" t="str">
        <f>IF([1]All!$F31=0,"",[1]All!$F31)</f>
        <v>MIL-001-540</v>
      </c>
    </row>
    <row r="31" spans="1:18">
      <c r="A31" s="7"/>
      <c r="B31" s="3">
        <f t="shared" si="0"/>
        <v>70</v>
      </c>
      <c r="C31" s="3" t="str">
        <f t="shared" si="1"/>
        <v>F</v>
      </c>
      <c r="D31" s="9" t="str">
        <f t="shared" si="2"/>
        <v>MIL-001-541</v>
      </c>
      <c r="E31" s="3" t="str">
        <f t="shared" si="3"/>
        <v>AFAW  MIL-001-541</v>
      </c>
      <c r="F31" s="10" t="str">
        <f t="shared" si="4"/>
        <v>PCCN: CRGARM:-:PLISN: AFAW :-:PCC: TIT :-: CAGE: 0UJB5:-:PART NUMBER: MIL-001-541:-:NOMENCLATURE: TUBE ASSEMBLY,METAL:-:PRICE: $84.97:-:UNIQUE MODS: NO:-:PROPRIETARILY MFG FOR OEM: NO:-: :-: :-: :-:NSN: 4710015667882 :-: NHA: MIL-001-067 :-: NHA NSN: 3040015668242</v>
      </c>
      <c r="G31" s="8" t="str">
        <f>IF([1]All!$B32="","",[1]All!$B32)</f>
        <v xml:space="preserve">AFAW </v>
      </c>
      <c r="H31" s="8"/>
      <c r="I31" s="8" t="str">
        <f>IF([1]All!$D32=0,"",[1]All!$D32)</f>
        <v>F</v>
      </c>
      <c r="J31" s="8" t="str">
        <f>IF([1]All!$E32=0,"",[1]All!$E32)</f>
        <v>0UJB5</v>
      </c>
      <c r="K31" s="8" t="s">
        <v>32</v>
      </c>
      <c r="L31" s="11" t="str">
        <f>IF([1]All!$L32=0,"",[1]All!$L32)</f>
        <v>TUBE ASSEMBLY,METAL</v>
      </c>
      <c r="M31" s="7" t="str">
        <f>IF([1]All!$AJ32=0,"",[1]All!$AJ32)</f>
        <v xml:space="preserve">ABBL </v>
      </c>
      <c r="N31" s="7" t="str">
        <f>IF([1]All!$R32=0,"",[1]All!$R32)</f>
        <v>4710</v>
      </c>
      <c r="O31" s="7" t="str">
        <f>IF([1]All!$S32=0,"",[1]All!$S32)</f>
        <v>015667882</v>
      </c>
      <c r="P31" s="7" t="str">
        <f>IF([1]All!$V32=0,"",[1]All!$V32)</f>
        <v>0000008497</v>
      </c>
      <c r="Q31" s="3" t="str">
        <f t="shared" si="5"/>
        <v>$84.97</v>
      </c>
      <c r="R31" s="8" t="str">
        <f>IF([1]All!$F32=0,"",[1]All!$F32)</f>
        <v>MIL-001-541</v>
      </c>
    </row>
    <row r="32" spans="1:18">
      <c r="A32" s="7"/>
      <c r="B32" s="3">
        <f t="shared" si="0"/>
        <v>70</v>
      </c>
      <c r="C32" s="3" t="str">
        <f t="shared" si="1"/>
        <v>F</v>
      </c>
      <c r="D32" s="9" t="str">
        <f t="shared" si="2"/>
        <v>MIL-001-542</v>
      </c>
      <c r="E32" s="3" t="str">
        <f t="shared" si="3"/>
        <v>AFGS  MIL-001-542</v>
      </c>
      <c r="F32" s="10" t="str">
        <f t="shared" si="4"/>
        <v>PCCN: CRGARM:-:PLISN: AFGS :-:PCC: TIT :-: CAGE: 0UJB5:-:PART NUMBER: MIL-001-542:-:NOMENCLATURE: ELBOW,TUBE TO HOSE:-:PRICE: $25.42:-:UNIQUE MODS: NO:-:PROPRIETARILY MFG FOR OEM: NO:-: :-: :-: :-:NSN: 4730015677861 :-: NHA: MIL-001-067 :-: NHA NSN: 3040015668242</v>
      </c>
      <c r="G32" s="8" t="str">
        <f>IF([1]All!$B33="","",[1]All!$B33)</f>
        <v xml:space="preserve">AFGS </v>
      </c>
      <c r="H32" s="8"/>
      <c r="I32" s="8" t="str">
        <f>IF([1]All!$D33=0,"",[1]All!$D33)</f>
        <v>F</v>
      </c>
      <c r="J32" s="8" t="str">
        <f>IF([1]All!$E33=0,"",[1]All!$E33)</f>
        <v>0UJB5</v>
      </c>
      <c r="K32" s="8" t="s">
        <v>33</v>
      </c>
      <c r="L32" s="11" t="str">
        <f>IF([1]All!$L33=0,"",[1]All!$L33)</f>
        <v>ELBOW,TUBE TO HOSE</v>
      </c>
      <c r="M32" s="7" t="str">
        <f>IF([1]All!$AJ33=0,"",[1]All!$AJ33)</f>
        <v xml:space="preserve">ABBL </v>
      </c>
      <c r="N32" s="7" t="str">
        <f>IF([1]All!$R33=0,"",[1]All!$R33)</f>
        <v>4730</v>
      </c>
      <c r="O32" s="7" t="str">
        <f>IF([1]All!$S33=0,"",[1]All!$S33)</f>
        <v>015677861</v>
      </c>
      <c r="P32" s="7" t="str">
        <f>IF([1]All!$V33=0,"",[1]All!$V33)</f>
        <v>0000002542</v>
      </c>
      <c r="Q32" s="3" t="str">
        <f t="shared" si="5"/>
        <v>$25.42</v>
      </c>
      <c r="R32" s="8" t="str">
        <f>IF([1]All!$F33=0,"",[1]All!$F33)</f>
        <v>MIL-001-542</v>
      </c>
    </row>
    <row r="33" spans="1:18">
      <c r="A33" s="7"/>
      <c r="B33" s="3">
        <f t="shared" si="0"/>
        <v>70</v>
      </c>
      <c r="C33" s="3" t="str">
        <f t="shared" si="1"/>
        <v>F</v>
      </c>
      <c r="D33" s="9" t="str">
        <f t="shared" si="2"/>
        <v>RR808</v>
      </c>
      <c r="E33" s="3" t="str">
        <f t="shared" si="3"/>
        <v>AFNN  RR808</v>
      </c>
      <c r="F33" s="10" t="str">
        <f t="shared" si="4"/>
        <v>PCCN: CRGARM:-:PLISN: AFNN :-:PCC: TIT :-: CAGE: 0UJB5:-:PART NUMBER: RR808:-:NOMENCLATURE: WASHER,LOCK:-:PRICE: $1.67:-:UNIQUE MODS: NO:-:PROPRIETARILY MFG FOR OEM: NO:-: :-: :-: :-:NSN: 5310015474408 :-: NHA: MIL-001-067 :-: NHA NSN: 3040015668242</v>
      </c>
      <c r="G33" s="8" t="str">
        <f>IF([1]All!$B34="","",[1]All!$B34)</f>
        <v xml:space="preserve">AFNN </v>
      </c>
      <c r="H33" s="8"/>
      <c r="I33" s="8" t="str">
        <f>IF([1]All!$D34=0,"",[1]All!$D34)</f>
        <v>F</v>
      </c>
      <c r="J33" s="8" t="str">
        <f>IF([1]All!$E34=0,"",[1]All!$E34)</f>
        <v>0UJB5</v>
      </c>
      <c r="K33" s="8" t="s">
        <v>34</v>
      </c>
      <c r="L33" s="11" t="str">
        <f>IF([1]All!$L34=0,"",[1]All!$L34)</f>
        <v>WASHER,LOCK</v>
      </c>
      <c r="M33" s="7" t="str">
        <f>IF([1]All!$AJ34=0,"",[1]All!$AJ34)</f>
        <v xml:space="preserve">ABBL </v>
      </c>
      <c r="N33" s="7" t="str">
        <f>IF([1]All!$R34=0,"",[1]All!$R34)</f>
        <v>5310</v>
      </c>
      <c r="O33" s="7" t="str">
        <f>IF([1]All!$S34=0,"",[1]All!$S34)</f>
        <v>015474408</v>
      </c>
      <c r="P33" s="7" t="str">
        <f>IF([1]All!$V34=0,"",[1]All!$V34)</f>
        <v>0000000167</v>
      </c>
      <c r="Q33" s="3" t="str">
        <f t="shared" si="5"/>
        <v>$1.67</v>
      </c>
      <c r="R33" s="8" t="str">
        <f>IF([1]All!$F34=0,"",[1]All!$F34)</f>
        <v>RR808</v>
      </c>
    </row>
    <row r="34" spans="1:18">
      <c r="A34" s="7"/>
      <c r="B34" s="3">
        <f t="shared" si="0"/>
        <v>70</v>
      </c>
      <c r="C34" s="3" t="str">
        <f t="shared" si="1"/>
        <v>F</v>
      </c>
      <c r="D34" s="9" t="str">
        <f t="shared" si="2"/>
        <v>TA737</v>
      </c>
      <c r="E34" s="3" t="str">
        <f t="shared" si="3"/>
        <v>AFUJ  TA737</v>
      </c>
      <c r="F34" s="10" t="str">
        <f t="shared" si="4"/>
        <v>PCCN: CRGARM:-:PLISN: AFUJ :-:PCC: TIT :-: CAGE: 0UJB5:-:PART NUMBER: TA737:-:NOMENCLATURE: PLUG,PIPE:-:PRICE: $7.63:-:UNIQUE MODS: NO:-:PROPRIETARILY MFG FOR OEM: NO:-: :-: :-: :-:NSN: 4730015469162 :-: NHA: MIL-001-067 :-: NHA NSN: 3040015668242</v>
      </c>
      <c r="G34" s="8" t="str">
        <f>IF([1]All!$B35="","",[1]All!$B35)</f>
        <v xml:space="preserve">AFUJ </v>
      </c>
      <c r="H34" s="8"/>
      <c r="I34" s="8" t="str">
        <f>IF([1]All!$D35=0,"",[1]All!$D35)</f>
        <v>F</v>
      </c>
      <c r="J34" s="8" t="str">
        <f>IF([1]All!$E35=0,"",[1]All!$E35)</f>
        <v>0UJB5</v>
      </c>
      <c r="K34" s="8" t="s">
        <v>35</v>
      </c>
      <c r="L34" s="11" t="str">
        <f>IF([1]All!$L35=0,"",[1]All!$L35)</f>
        <v>PLUG,PIPE</v>
      </c>
      <c r="M34" s="7" t="str">
        <f>IF([1]All!$AJ35=0,"",[1]All!$AJ35)</f>
        <v xml:space="preserve">ABBL </v>
      </c>
      <c r="N34" s="7" t="str">
        <f>IF([1]All!$R35=0,"",[1]All!$R35)</f>
        <v>4730</v>
      </c>
      <c r="O34" s="7" t="str">
        <f>IF([1]All!$S35=0,"",[1]All!$S35)</f>
        <v>015469162</v>
      </c>
      <c r="P34" s="7" t="str">
        <f>IF([1]All!$V35=0,"",[1]All!$V35)</f>
        <v>0000000763</v>
      </c>
      <c r="Q34" s="3" t="str">
        <f t="shared" si="5"/>
        <v>$7.63</v>
      </c>
      <c r="R34" s="8" t="str">
        <f>IF([1]All!$F35=0,"",[1]All!$F35)</f>
        <v>TA737</v>
      </c>
    </row>
    <row r="35" spans="1:18">
      <c r="A35" s="7"/>
      <c r="B35" s="3">
        <f t="shared" si="0"/>
        <v>70</v>
      </c>
      <c r="C35" s="3" t="str">
        <f t="shared" si="1"/>
        <v>F</v>
      </c>
      <c r="D35" s="9" t="str">
        <f t="shared" si="2"/>
        <v>IN845</v>
      </c>
      <c r="E35" s="3" t="str">
        <f t="shared" si="3"/>
        <v>AF0E  IN845</v>
      </c>
      <c r="F35" s="10" t="str">
        <f t="shared" si="4"/>
        <v>PCCN: CRGARM:-:PLISN: AF0E :-:PCC: TIT :-: CAGE: 0UJB5:-:PART NUMBER: IN845:-:NOMENCLATURE: FITTING,LUBRICATION:-:PRICE: $3.44:-:UNIQUE MODS: NO:-:PROPRIETARILY MFG FOR OEM: NO:-: :-: :-: :-:NSN: 4730015474478 :-: NHA: MIL-001-067 :-: NHA NSN: 3040015668242</v>
      </c>
      <c r="G35" s="8" t="str">
        <f>IF([1]All!$B36="","",[1]All!$B36)</f>
        <v xml:space="preserve">AF0E </v>
      </c>
      <c r="H35" s="8"/>
      <c r="I35" s="8" t="str">
        <f>IF([1]All!$D36=0,"",[1]All!$D36)</f>
        <v>F</v>
      </c>
      <c r="J35" s="8" t="str">
        <f>IF([1]All!$E36=0,"",[1]All!$E36)</f>
        <v>0UJB5</v>
      </c>
      <c r="K35" s="8" t="s">
        <v>36</v>
      </c>
      <c r="L35" s="11" t="str">
        <f>IF([1]All!$L36=0,"",[1]All!$L36)</f>
        <v>FITTING,LUBRICATION</v>
      </c>
      <c r="M35" s="7" t="str">
        <f>IF([1]All!$AJ36=0,"",[1]All!$AJ36)</f>
        <v xml:space="preserve">ABBL </v>
      </c>
      <c r="N35" s="7" t="str">
        <f>IF([1]All!$R36=0,"",[1]All!$R36)</f>
        <v>4730</v>
      </c>
      <c r="O35" s="7" t="str">
        <f>IF([1]All!$S36=0,"",[1]All!$S36)</f>
        <v>015474478</v>
      </c>
      <c r="P35" s="7" t="str">
        <f>IF([1]All!$V36=0,"",[1]All!$V36)</f>
        <v>0000000344</v>
      </c>
      <c r="Q35" s="3" t="str">
        <f t="shared" si="5"/>
        <v>$3.44</v>
      </c>
      <c r="R35" s="8" t="str">
        <f>IF([1]All!$F36=0,"",[1]All!$F36)</f>
        <v>IN845</v>
      </c>
    </row>
    <row r="36" spans="1:18">
      <c r="A36" s="7"/>
      <c r="B36" s="3">
        <f t="shared" si="0"/>
        <v>69</v>
      </c>
      <c r="C36" s="3" t="str">
        <f t="shared" si="1"/>
        <v>E</v>
      </c>
      <c r="D36" s="9" t="str">
        <f t="shared" si="2"/>
        <v>MIL-001-491</v>
      </c>
      <c r="E36" s="3" t="str">
        <f t="shared" si="3"/>
        <v>AF6A  MIL-001-491</v>
      </c>
      <c r="F36" s="10" t="str">
        <f t="shared" si="4"/>
        <v>PCCN: CRGARM:-:PLISN: AF6A :-:PCC: TIT :-: CAGE: 0UJB5:-:PART NUMBER: MIL-001-491:-:NOMENCLATURE: HOSE ASSEMBLY,NONME:-:PRICE: $85.55:-:UNIQUE MODS: NO:-:PROPRIETARILY MFG FOR OEM: NO:-: :-: :-: :-:NSN: 4720015664218 :-: NHA: MIL-001-396 :-: NHA NSN: 3810015663870</v>
      </c>
      <c r="G36" s="8" t="str">
        <f>IF([1]All!$B37="","",[1]All!$B37)</f>
        <v xml:space="preserve">AF6A </v>
      </c>
      <c r="H36" s="8"/>
      <c r="I36" s="8" t="str">
        <f>IF([1]All!$D37=0,"",[1]All!$D37)</f>
        <v>E</v>
      </c>
      <c r="J36" s="8" t="str">
        <f>IF([1]All!$E37=0,"",[1]All!$E37)</f>
        <v>0UJB5</v>
      </c>
      <c r="K36" s="8" t="s">
        <v>37</v>
      </c>
      <c r="L36" s="11" t="str">
        <f>IF([1]All!$L37=0,"",[1]All!$L37)</f>
        <v>HOSE ASSEMBLY,NONME</v>
      </c>
      <c r="M36" s="7" t="str">
        <f>IF([1]All!$AJ37=0,"",[1]All!$AJ37)</f>
        <v xml:space="preserve">AATY </v>
      </c>
      <c r="N36" s="7" t="str">
        <f>IF([1]All!$R37=0,"",[1]All!$R37)</f>
        <v>4720</v>
      </c>
      <c r="O36" s="7" t="str">
        <f>IF([1]All!$S37=0,"",[1]All!$S37)</f>
        <v>015664218</v>
      </c>
      <c r="P36" s="7" t="str">
        <f>IF([1]All!$V37=0,"",[1]All!$V37)</f>
        <v>0000008555</v>
      </c>
      <c r="Q36" s="3" t="str">
        <f t="shared" si="5"/>
        <v>$85.55</v>
      </c>
      <c r="R36" s="8" t="str">
        <f>IF([1]All!$F37=0,"",[1]All!$F37)</f>
        <v>MIL-001-491</v>
      </c>
    </row>
    <row r="37" spans="1:18">
      <c r="A37" s="7"/>
      <c r="B37" s="3">
        <f t="shared" si="0"/>
        <v>69</v>
      </c>
      <c r="C37" s="3" t="str">
        <f t="shared" si="1"/>
        <v>E</v>
      </c>
      <c r="D37" s="9" t="str">
        <f t="shared" si="2"/>
        <v>MIL-001-068</v>
      </c>
      <c r="E37" s="3" t="str">
        <f t="shared" si="3"/>
        <v>AGB6  MIL-001-068</v>
      </c>
      <c r="F37" s="10" t="str">
        <f t="shared" si="4"/>
        <v>PCCN: CRGARM:-:PLISN: AGB6 :-:PCC: TIT :-: CAGE: 0UJB5:-:PART NUMBER: MIL-001-068:-:NOMENCLATURE: CYLINDER ASSEMBLY,A:-:PRICE: $761.87:-:UNIQUE MODS: NO:-:PROPRIETARILY MFG FOR OEM: NO:-: :-: :-: :-:NSN: 3040015668243 :-: NHA: MIL-001-396 :-: NHA NSN: 3810015663870</v>
      </c>
      <c r="G37" s="8" t="str">
        <f>IF([1]All!$B38="","",[1]All!$B38)</f>
        <v xml:space="preserve">AGB6 </v>
      </c>
      <c r="H37" s="8"/>
      <c r="I37" s="8" t="str">
        <f>IF([1]All!$D38=0,"",[1]All!$D38)</f>
        <v>E</v>
      </c>
      <c r="J37" s="8" t="str">
        <f>IF([1]All!$E38=0,"",[1]All!$E38)</f>
        <v>0UJB5</v>
      </c>
      <c r="K37" s="8" t="s">
        <v>38</v>
      </c>
      <c r="L37" s="11" t="str">
        <f>IF([1]All!$L38=0,"",[1]All!$L38)</f>
        <v>CYLINDER ASSEMBLY,A</v>
      </c>
      <c r="M37" s="7" t="str">
        <f>IF([1]All!$AJ38=0,"",[1]All!$AJ38)</f>
        <v xml:space="preserve">AATY </v>
      </c>
      <c r="N37" s="7" t="str">
        <f>IF([1]All!$R38=0,"",[1]All!$R38)</f>
        <v>3040</v>
      </c>
      <c r="O37" s="7" t="str">
        <f>IF([1]All!$S38=0,"",[1]All!$S38)</f>
        <v>015668243</v>
      </c>
      <c r="P37" s="7" t="str">
        <f>IF([1]All!$V38=0,"",[1]All!$V38)</f>
        <v>0000076187</v>
      </c>
      <c r="Q37" s="3" t="str">
        <f t="shared" si="5"/>
        <v>$761.87</v>
      </c>
      <c r="R37" s="8" t="str">
        <f>IF([1]All!$F38=0,"",[1]All!$F38)</f>
        <v>MIL-001-068</v>
      </c>
    </row>
    <row r="38" spans="1:18">
      <c r="A38" s="7"/>
      <c r="B38" s="3">
        <f t="shared" si="0"/>
        <v>70</v>
      </c>
      <c r="C38" s="3" t="str">
        <f t="shared" si="1"/>
        <v>F</v>
      </c>
      <c r="D38" s="9" t="str">
        <f t="shared" si="2"/>
        <v>MIL-001-492</v>
      </c>
      <c r="E38" s="3" t="str">
        <f t="shared" si="3"/>
        <v>AGH2  MIL-001-492</v>
      </c>
      <c r="F38" s="10" t="str">
        <f t="shared" si="4"/>
        <v>PCCN: CRGARM:-:PLISN: AGH2 :-:PCC: TIT :-: CAGE: 0UJB5:-:PART NUMBER: MIL-001-492:-:NOMENCLATURE: CYLINDER ASSEMBLY,A:-:PRICE: $492.02:-:UNIQUE MODS: NO:-:PROPRIETARILY MFG FOR OEM: NO:-: :-: :-: :-:NSN: 3040015733727 :-: NHA: MIL-001-068 :-: NHA NSN: 3040015668243</v>
      </c>
      <c r="G38" s="8" t="str">
        <f>IF([1]All!$B39="","",[1]All!$B39)</f>
        <v xml:space="preserve">AGH2 </v>
      </c>
      <c r="H38" s="8"/>
      <c r="I38" s="8" t="str">
        <f>IF([1]All!$D39=0,"",[1]All!$D39)</f>
        <v>F</v>
      </c>
      <c r="J38" s="8" t="str">
        <f>IF([1]All!$E39=0,"",[1]All!$E39)</f>
        <v>0UJB5</v>
      </c>
      <c r="K38" s="8" t="s">
        <v>39</v>
      </c>
      <c r="L38" s="11" t="str">
        <f>IF([1]All!$L39=0,"",[1]All!$L39)</f>
        <v>CYLINDER ASSEMBLY,A</v>
      </c>
      <c r="M38" s="7" t="str">
        <f>IF([1]All!$AJ39=0,"",[1]All!$AJ39)</f>
        <v xml:space="preserve">AGB6 </v>
      </c>
      <c r="N38" s="7" t="str">
        <f>IF([1]All!$R39=0,"",[1]All!$R39)</f>
        <v>3040</v>
      </c>
      <c r="O38" s="7" t="str">
        <f>IF([1]All!$S39=0,"",[1]All!$S39)</f>
        <v>015733727</v>
      </c>
      <c r="P38" s="7" t="str">
        <f>IF([1]All!$V39=0,"",[1]All!$V39)</f>
        <v>0000049202</v>
      </c>
      <c r="Q38" s="3" t="str">
        <f t="shared" si="5"/>
        <v>$492.02</v>
      </c>
      <c r="R38" s="8" t="str">
        <f>IF([1]All!$F39=0,"",[1]All!$F39)</f>
        <v>MIL-001-492</v>
      </c>
    </row>
    <row r="39" spans="1:18">
      <c r="A39" s="7"/>
      <c r="B39" s="3">
        <f t="shared" si="0"/>
        <v>71</v>
      </c>
      <c r="C39" s="3" t="str">
        <f t="shared" si="1"/>
        <v>G</v>
      </c>
      <c r="D39" s="9" t="str">
        <f t="shared" si="2"/>
        <v>MIL-001-1089</v>
      </c>
      <c r="E39" s="3" t="str">
        <f t="shared" si="3"/>
        <v>AGPY  MIL-001-1089</v>
      </c>
      <c r="F39" s="10" t="str">
        <f t="shared" si="4"/>
        <v>PCCN: CRGARM:-:PLISN: AGPY :-:PCC: TIT :-: CAGE: 0UJB5:-:PART NUMBER: MIL-001-1089:-:NOMENCLATURE: BODY,CYLINDER:-:PRICE: $165.00:-:UNIQUE MODS: NO:-:PROPRIETARILY MFG FOR OEM: NO:-: :-: :-: :-: :-: NHA: MIL-001-492 :-: NHA NSN: 3040015733727</v>
      </c>
      <c r="G39" s="8" t="str">
        <f>IF([1]All!$B40="","",[1]All!$B40)</f>
        <v xml:space="preserve">AGPY </v>
      </c>
      <c r="H39" s="8"/>
      <c r="I39" s="8" t="str">
        <f>IF([1]All!$D40=0,"",[1]All!$D40)</f>
        <v>G</v>
      </c>
      <c r="J39" s="8" t="str">
        <f>IF([1]All!$E40=0,"",[1]All!$E40)</f>
        <v>0UJB5</v>
      </c>
      <c r="K39" s="8" t="s">
        <v>40</v>
      </c>
      <c r="L39" s="11" t="str">
        <f>IF([1]All!$L40=0,"",[1]All!$L40)</f>
        <v>BODY,CYLINDER</v>
      </c>
      <c r="M39" s="7" t="str">
        <f>IF([1]All!$AJ40=0,"",[1]All!$AJ40)</f>
        <v xml:space="preserve">AGH2 </v>
      </c>
      <c r="N39" s="7" t="str">
        <f>IF([1]All!$R40=0,"",[1]All!$R40)</f>
        <v/>
      </c>
      <c r="O39" s="7" t="str">
        <f>IF([1]All!$S40=0,"",[1]All!$S40)</f>
        <v/>
      </c>
      <c r="P39" s="7" t="str">
        <f>IF([1]All!$V40=0,"",[1]All!$V40)</f>
        <v>0000016500</v>
      </c>
      <c r="Q39" s="3" t="str">
        <f t="shared" si="5"/>
        <v>$165.00</v>
      </c>
      <c r="R39" s="8" t="str">
        <f>IF([1]All!$F40=0,"",[1]All!$F40)</f>
        <v>MIL-001-1089</v>
      </c>
    </row>
    <row r="40" spans="1:18">
      <c r="A40" s="7"/>
      <c r="B40" s="3">
        <f t="shared" si="0"/>
        <v>71</v>
      </c>
      <c r="C40" s="3" t="str">
        <f t="shared" si="1"/>
        <v>G</v>
      </c>
      <c r="D40" s="9" t="str">
        <f t="shared" si="2"/>
        <v>MIL-001-1090</v>
      </c>
      <c r="E40" s="3" t="str">
        <f t="shared" si="3"/>
        <v>AGVU  MIL-001-1090</v>
      </c>
      <c r="F40" s="10" t="str">
        <f t="shared" si="4"/>
        <v>PCCN: CRGARM:-:PLISN: AGVU :-:PCC: TIT :-: CAGE: 0UJB5:-:PART NUMBER: MIL-001-1090:-:NOMENCLATURE: ROD:-:PRICE: $528.70:-:UNIQUE MODS: NO:-:PROPRIETARILY MFG FOR OEM: NO:-: :-: :-: :-: :-: NHA: MIL-001-492 :-: NHA NSN: 3040015733727</v>
      </c>
      <c r="G40" s="8" t="str">
        <f>IF([1]All!$B41="","",[1]All!$B41)</f>
        <v xml:space="preserve">AGVU </v>
      </c>
      <c r="H40" s="8"/>
      <c r="I40" s="8" t="str">
        <f>IF([1]All!$D41=0,"",[1]All!$D41)</f>
        <v>G</v>
      </c>
      <c r="J40" s="8" t="str">
        <f>IF([1]All!$E41=0,"",[1]All!$E41)</f>
        <v>0UJB5</v>
      </c>
      <c r="K40" s="8" t="s">
        <v>41</v>
      </c>
      <c r="L40" s="11" t="str">
        <f>IF([1]All!$L41=0,"",[1]All!$L41)</f>
        <v>ROD</v>
      </c>
      <c r="M40" s="7" t="str">
        <f>IF([1]All!$AJ41=0,"",[1]All!$AJ41)</f>
        <v xml:space="preserve">AGH2 </v>
      </c>
      <c r="N40" s="7" t="str">
        <f>IF([1]All!$R41=0,"",[1]All!$R41)</f>
        <v/>
      </c>
      <c r="O40" s="7" t="str">
        <f>IF([1]All!$S41=0,"",[1]All!$S41)</f>
        <v/>
      </c>
      <c r="P40" s="7" t="str">
        <f>IF([1]All!$V41=0,"",[1]All!$V41)</f>
        <v>0000052870</v>
      </c>
      <c r="Q40" s="3" t="str">
        <f t="shared" si="5"/>
        <v>$528.70</v>
      </c>
      <c r="R40" s="8" t="str">
        <f>IF([1]All!$F41=0,"",[1]All!$F41)</f>
        <v>MIL-001-1090</v>
      </c>
    </row>
    <row r="41" spans="1:18">
      <c r="A41" s="7"/>
      <c r="B41" s="3">
        <f t="shared" si="0"/>
        <v>71</v>
      </c>
      <c r="C41" s="3" t="str">
        <f t="shared" si="1"/>
        <v>G</v>
      </c>
      <c r="D41" s="9" t="str">
        <f t="shared" si="2"/>
        <v>MIL-001-1091</v>
      </c>
      <c r="E41" s="3" t="str">
        <f t="shared" si="3"/>
        <v>AG1Q  MIL-001-1091</v>
      </c>
      <c r="F41" s="10" t="str">
        <f t="shared" si="4"/>
        <v>PCCN: CRGARM:-:PLISN: AG1Q :-:PCC: TIT :-: CAGE: 0UJB5:-:PART NUMBER: MIL-001-1091:-:NOMENCLATURE: SEAL:-:PRICE: $8.30:-:UNIQUE MODS: NO:-:PROPRIETARILY MFG FOR OEM: NO:-: :-: :-: :-: :-: NHA: MIL-001-492 :-: NHA NSN: 3040015733727</v>
      </c>
      <c r="G41" s="8" t="str">
        <f>IF([1]All!$B42="","",[1]All!$B42)</f>
        <v xml:space="preserve">AG1Q </v>
      </c>
      <c r="H41" s="8"/>
      <c r="I41" s="8" t="str">
        <f>IF([1]All!$D42=0,"",[1]All!$D42)</f>
        <v>G</v>
      </c>
      <c r="J41" s="8" t="str">
        <f>IF([1]All!$E42=0,"",[1]All!$E42)</f>
        <v>0UJB5</v>
      </c>
      <c r="K41" s="8" t="s">
        <v>42</v>
      </c>
      <c r="L41" s="11" t="str">
        <f>IF([1]All!$L42=0,"",[1]All!$L42)</f>
        <v>SEAL</v>
      </c>
      <c r="M41" s="7" t="str">
        <f>IF([1]All!$AJ42=0,"",[1]All!$AJ42)</f>
        <v xml:space="preserve">AGH2 </v>
      </c>
      <c r="N41" s="7" t="str">
        <f>IF([1]All!$R42=0,"",[1]All!$R42)</f>
        <v/>
      </c>
      <c r="O41" s="7" t="str">
        <f>IF([1]All!$S42=0,"",[1]All!$S42)</f>
        <v/>
      </c>
      <c r="P41" s="7" t="str">
        <f>IF([1]All!$V42=0,"",[1]All!$V42)</f>
        <v>0000000830</v>
      </c>
      <c r="Q41" s="3" t="str">
        <f t="shared" si="5"/>
        <v>$8.30</v>
      </c>
      <c r="R41" s="8" t="str">
        <f>IF([1]All!$F42=0,"",[1]All!$F42)</f>
        <v>MIL-001-1091</v>
      </c>
    </row>
    <row r="42" spans="1:18">
      <c r="A42" s="7"/>
      <c r="B42" s="3">
        <f t="shared" si="0"/>
        <v>71</v>
      </c>
      <c r="C42" s="3" t="str">
        <f t="shared" si="1"/>
        <v>G</v>
      </c>
      <c r="D42" s="9" t="str">
        <f t="shared" si="2"/>
        <v>MIL-001-1092</v>
      </c>
      <c r="E42" s="3" t="str">
        <f t="shared" si="3"/>
        <v>AG7L  MIL-001-1092</v>
      </c>
      <c r="F42" s="10" t="str">
        <f t="shared" si="4"/>
        <v>PCCN: CRGARM:-:PLISN: AG7L :-:PCC: TIT :-: CAGE: 0UJB5:-:PART NUMBER: MIL-001-1092:-:NOMENCLATURE: SEAL:-:PRICE: $11.06:-:UNIQUE MODS: NO:-:PROPRIETARILY MFG FOR OEM: NO:-: :-: :-: :-: :-: NHA: MIL-001-492 :-: NHA NSN: 3040015733727</v>
      </c>
      <c r="G42" s="8" t="str">
        <f>IF([1]All!$B43="","",[1]All!$B43)</f>
        <v xml:space="preserve">AG7L </v>
      </c>
      <c r="H42" s="8"/>
      <c r="I42" s="8" t="str">
        <f>IF([1]All!$D43=0,"",[1]All!$D43)</f>
        <v>G</v>
      </c>
      <c r="J42" s="8" t="str">
        <f>IF([1]All!$E43=0,"",[1]All!$E43)</f>
        <v>0UJB5</v>
      </c>
      <c r="K42" s="8" t="s">
        <v>43</v>
      </c>
      <c r="L42" s="11" t="str">
        <f>IF([1]All!$L43=0,"",[1]All!$L43)</f>
        <v>SEAL</v>
      </c>
      <c r="M42" s="7" t="str">
        <f>IF([1]All!$AJ43=0,"",[1]All!$AJ43)</f>
        <v xml:space="preserve">AGH2 </v>
      </c>
      <c r="N42" s="7" t="str">
        <f>IF([1]All!$R43=0,"",[1]All!$R43)</f>
        <v/>
      </c>
      <c r="O42" s="7" t="str">
        <f>IF([1]All!$S43=0,"",[1]All!$S43)</f>
        <v/>
      </c>
      <c r="P42" s="7" t="str">
        <f>IF([1]All!$V43=0,"",[1]All!$V43)</f>
        <v>0000001106</v>
      </c>
      <c r="Q42" s="3" t="str">
        <f t="shared" si="5"/>
        <v>$11.06</v>
      </c>
      <c r="R42" s="8" t="str">
        <f>IF([1]All!$F43=0,"",[1]All!$F43)</f>
        <v>MIL-001-1092</v>
      </c>
    </row>
    <row r="43" spans="1:18">
      <c r="A43" s="7"/>
      <c r="B43" s="3">
        <f t="shared" si="0"/>
        <v>71</v>
      </c>
      <c r="C43" s="3" t="str">
        <f t="shared" si="1"/>
        <v>G</v>
      </c>
      <c r="D43" s="9" t="str">
        <f t="shared" si="2"/>
        <v>MIL-001-1093</v>
      </c>
      <c r="E43" s="3" t="str">
        <f t="shared" si="3"/>
        <v>AHDG  MIL-001-1093</v>
      </c>
      <c r="F43" s="10" t="str">
        <f t="shared" si="4"/>
        <v>PCCN: CRGARM:-:PLISN: AHDG :-:PCC: TIT :-: CAGE: 0UJB5:-:PART NUMBER: MIL-001-1093:-:NOMENCLATURE: NUT RING:-:PRICE: $168.31:-:UNIQUE MODS: NO:-:PROPRIETARILY MFG FOR OEM: NO:-: :-: :-: :-: :-: NHA: MIL-001-492 :-: NHA NSN: 3040015733727</v>
      </c>
      <c r="G43" s="8" t="str">
        <f>IF([1]All!$B44="","",[1]All!$B44)</f>
        <v xml:space="preserve">AHDG </v>
      </c>
      <c r="H43" s="8"/>
      <c r="I43" s="8" t="str">
        <f>IF([1]All!$D44=0,"",[1]All!$D44)</f>
        <v>G</v>
      </c>
      <c r="J43" s="8" t="str">
        <f>IF([1]All!$E44=0,"",[1]All!$E44)</f>
        <v>0UJB5</v>
      </c>
      <c r="K43" s="8" t="s">
        <v>44</v>
      </c>
      <c r="L43" s="11" t="str">
        <f>IF([1]All!$L44=0,"",[1]All!$L44)</f>
        <v>NUT RING</v>
      </c>
      <c r="M43" s="7" t="str">
        <f>IF([1]All!$AJ44=0,"",[1]All!$AJ44)</f>
        <v xml:space="preserve">AGH2 </v>
      </c>
      <c r="N43" s="7" t="str">
        <f>IF([1]All!$R44=0,"",[1]All!$R44)</f>
        <v/>
      </c>
      <c r="O43" s="7" t="str">
        <f>IF([1]All!$S44=0,"",[1]All!$S44)</f>
        <v/>
      </c>
      <c r="P43" s="7" t="str">
        <f>IF([1]All!$V44=0,"",[1]All!$V44)</f>
        <v>0000016831</v>
      </c>
      <c r="Q43" s="3" t="str">
        <f t="shared" si="5"/>
        <v>$168.31</v>
      </c>
      <c r="R43" s="8" t="str">
        <f>IF([1]All!$F44=0,"",[1]All!$F44)</f>
        <v>MIL-001-1093</v>
      </c>
    </row>
    <row r="44" spans="1:18">
      <c r="A44" s="7"/>
      <c r="B44" s="3">
        <f t="shared" si="0"/>
        <v>71</v>
      </c>
      <c r="C44" s="3" t="str">
        <f t="shared" si="1"/>
        <v>G</v>
      </c>
      <c r="D44" s="9" t="str">
        <f t="shared" si="2"/>
        <v>MIL-001-1094</v>
      </c>
      <c r="E44" s="3" t="str">
        <f t="shared" si="3"/>
        <v>AHKC  MIL-001-1094</v>
      </c>
      <c r="F44" s="10" t="str">
        <f t="shared" si="4"/>
        <v>PCCN: CRGARM:-:PLISN: AHKC :-:PCC: TIT :-: CAGE: 0UJB5:-:PART NUMBER: MIL-001-1094:-:NOMENCLATURE: O-RING:-:PRICE: $0.19:-:UNIQUE MODS: NO:-:PROPRIETARILY MFG FOR OEM: NO:-: :-: :-: :-: :-: NHA: MIL-001-492 :-: NHA NSN: 3040015733727</v>
      </c>
      <c r="G44" s="8" t="str">
        <f>IF([1]All!$B45="","",[1]All!$B45)</f>
        <v xml:space="preserve">AHKC </v>
      </c>
      <c r="H44" s="8"/>
      <c r="I44" s="8" t="str">
        <f>IF([1]All!$D45=0,"",[1]All!$D45)</f>
        <v>G</v>
      </c>
      <c r="J44" s="8" t="str">
        <f>IF([1]All!$E45=0,"",[1]All!$E45)</f>
        <v>0UJB5</v>
      </c>
      <c r="K44" s="8" t="s">
        <v>45</v>
      </c>
      <c r="L44" s="11" t="str">
        <f>IF([1]All!$L45=0,"",[1]All!$L45)</f>
        <v>O-RING</v>
      </c>
      <c r="M44" s="7" t="str">
        <f>IF([1]All!$AJ45=0,"",[1]All!$AJ45)</f>
        <v xml:space="preserve">AGH2 </v>
      </c>
      <c r="N44" s="7" t="str">
        <f>IF([1]All!$R45=0,"",[1]All!$R45)</f>
        <v/>
      </c>
      <c r="O44" s="7" t="str">
        <f>IF([1]All!$S45=0,"",[1]All!$S45)</f>
        <v/>
      </c>
      <c r="P44" s="7" t="str">
        <f>IF([1]All!$V45=0,"",[1]All!$V45)</f>
        <v>0000000019</v>
      </c>
      <c r="Q44" s="3" t="str">
        <f t="shared" si="5"/>
        <v>$0.19</v>
      </c>
      <c r="R44" s="8" t="str">
        <f>IF([1]All!$F45=0,"",[1]All!$F45)</f>
        <v>MIL-001-1094</v>
      </c>
    </row>
    <row r="45" spans="1:18">
      <c r="A45" s="7"/>
      <c r="B45" s="3">
        <f t="shared" si="0"/>
        <v>71</v>
      </c>
      <c r="C45" s="3" t="str">
        <f t="shared" si="1"/>
        <v>G</v>
      </c>
      <c r="D45" s="9" t="str">
        <f t="shared" si="2"/>
        <v>MIL-001-1095</v>
      </c>
      <c r="E45" s="3" t="str">
        <f t="shared" si="3"/>
        <v>AHQ8  MIL-001-1095</v>
      </c>
      <c r="F45" s="10" t="str">
        <f t="shared" si="4"/>
        <v>PCCN: CRGARM:-:PLISN: AHQ8 :-:PCC: TIT :-: CAGE: 0UJB5:-:PART NUMBER: MIL-001-1095:-:NOMENCLATURE: RING, SPLIT:-:PRICE: $6.62:-:UNIQUE MODS: NO:-:PROPRIETARILY MFG FOR OEM: NO:-: :-: :-: :-: :-: NHA: MIL-001-492 :-: NHA NSN: 3040015733727</v>
      </c>
      <c r="G45" s="8" t="str">
        <f>IF([1]All!$B46="","",[1]All!$B46)</f>
        <v xml:space="preserve">AHQ8 </v>
      </c>
      <c r="H45" s="8"/>
      <c r="I45" s="8" t="str">
        <f>IF([1]All!$D46=0,"",[1]All!$D46)</f>
        <v>G</v>
      </c>
      <c r="J45" s="8" t="str">
        <f>IF([1]All!$E46=0,"",[1]All!$E46)</f>
        <v>0UJB5</v>
      </c>
      <c r="K45" s="8" t="s">
        <v>46</v>
      </c>
      <c r="L45" s="11" t="str">
        <f>IF([1]All!$L46=0,"",[1]All!$L46)</f>
        <v>RING, SPLIT</v>
      </c>
      <c r="M45" s="7" t="str">
        <f>IF([1]All!$AJ46=0,"",[1]All!$AJ46)</f>
        <v xml:space="preserve">AGH2 </v>
      </c>
      <c r="N45" s="7" t="str">
        <f>IF([1]All!$R46=0,"",[1]All!$R46)</f>
        <v/>
      </c>
      <c r="O45" s="7" t="str">
        <f>IF([1]All!$S46=0,"",[1]All!$S46)</f>
        <v/>
      </c>
      <c r="P45" s="7" t="str">
        <f>IF([1]All!$V46=0,"",[1]All!$V46)</f>
        <v>0000000662</v>
      </c>
      <c r="Q45" s="3" t="str">
        <f t="shared" si="5"/>
        <v>$6.62</v>
      </c>
      <c r="R45" s="8" t="str">
        <f>IF([1]All!$F46=0,"",[1]All!$F46)</f>
        <v>MIL-001-1095</v>
      </c>
    </row>
    <row r="46" spans="1:18">
      <c r="A46" s="7"/>
      <c r="B46" s="3">
        <f t="shared" si="0"/>
        <v>71</v>
      </c>
      <c r="C46" s="3" t="str">
        <f t="shared" si="1"/>
        <v>G</v>
      </c>
      <c r="D46" s="9" t="str">
        <f t="shared" si="2"/>
        <v>4307500</v>
      </c>
      <c r="E46" s="3" t="str">
        <f t="shared" si="3"/>
        <v>AHW4  4307500</v>
      </c>
      <c r="F46" s="10" t="str">
        <f t="shared" si="4"/>
        <v>PCCN: CRGARM:-:PLISN: AHW4 :-:PCC: TIT :-: CAGE: 4U211:-:PART NUMBER: 4307500:-:NOMENCLATURE: SEAL:-:PRICE: $4.17:-:UNIQUE MODS: NO:-:PROPRIETARILY MFG FOR OEM: NO:-: :-: :-: :-: :-: NHA: MIL-001-492 :-: NHA NSN: 3040015733727</v>
      </c>
      <c r="G46" s="8" t="str">
        <f>IF([1]All!$B47="","",[1]All!$B47)</f>
        <v xml:space="preserve">AHW4 </v>
      </c>
      <c r="H46" s="8"/>
      <c r="I46" s="8" t="str">
        <f>IF([1]All!$D47=0,"",[1]All!$D47)</f>
        <v>G</v>
      </c>
      <c r="J46" s="8" t="str">
        <f>IF([1]All!$E47=0,"",[1]All!$E47)</f>
        <v>4U211</v>
      </c>
      <c r="K46" s="8" t="s">
        <v>429</v>
      </c>
      <c r="L46" s="11" t="str">
        <f>IF([1]All!$L47=0,"",[1]All!$L47)</f>
        <v>SEAL</v>
      </c>
      <c r="M46" s="7" t="str">
        <f>IF([1]All!$AJ47=0,"",[1]All!$AJ47)</f>
        <v xml:space="preserve">AGH2 </v>
      </c>
      <c r="N46" s="7" t="str">
        <f>IF([1]All!$R47=0,"",[1]All!$R47)</f>
        <v/>
      </c>
      <c r="O46" s="7" t="str">
        <f>IF([1]All!$S47=0,"",[1]All!$S47)</f>
        <v/>
      </c>
      <c r="P46" s="7" t="str">
        <f>IF([1]All!$V47=0,"",[1]All!$V47)</f>
        <v>0000000417</v>
      </c>
      <c r="Q46" s="3" t="str">
        <f t="shared" si="5"/>
        <v>$4.17</v>
      </c>
      <c r="R46" s="8" t="str">
        <f>IF([1]All!$F47=0,"",[1]All!$F47)</f>
        <v>4307500</v>
      </c>
    </row>
    <row r="47" spans="1:18">
      <c r="A47" s="7"/>
      <c r="B47" s="3">
        <f t="shared" si="0"/>
        <v>71</v>
      </c>
      <c r="C47" s="3" t="str">
        <f t="shared" si="1"/>
        <v>G</v>
      </c>
      <c r="D47" s="9" t="str">
        <f t="shared" si="2"/>
        <v>MIL-001-1097</v>
      </c>
      <c r="E47" s="3" t="str">
        <f t="shared" si="3"/>
        <v>AH20  MIL-001-1097</v>
      </c>
      <c r="F47" s="10" t="str">
        <f t="shared" si="4"/>
        <v>PCCN: CRGARM:-:PLISN: AH20 :-:PCC: TIT :-: CAGE: 0UJB5:-:PART NUMBER: MIL-001-1097:-:NOMENCLATURE: DUST COVER:-:PRICE: $1.81:-:UNIQUE MODS: NO:-:PROPRIETARILY MFG FOR OEM: NO:-: :-: :-: :-: :-: NHA: MIL-001-492 :-: NHA NSN: 3040015733727</v>
      </c>
      <c r="G47" s="8" t="str">
        <f>IF([1]All!$B48="","",[1]All!$B48)</f>
        <v xml:space="preserve">AH20 </v>
      </c>
      <c r="H47" s="8"/>
      <c r="I47" s="8" t="str">
        <f>IF([1]All!$D48=0,"",[1]All!$D48)</f>
        <v>G</v>
      </c>
      <c r="J47" s="8" t="str">
        <f>IF([1]All!$E48=0,"",[1]All!$E48)</f>
        <v>0UJB5</v>
      </c>
      <c r="K47" s="8" t="s">
        <v>47</v>
      </c>
      <c r="L47" s="11" t="str">
        <f>IF([1]All!$L48=0,"",[1]All!$L48)</f>
        <v>DUST COVER</v>
      </c>
      <c r="M47" s="7" t="str">
        <f>IF([1]All!$AJ48=0,"",[1]All!$AJ48)</f>
        <v xml:space="preserve">AGH2 </v>
      </c>
      <c r="N47" s="7" t="str">
        <f>IF([1]All!$R48=0,"",[1]All!$R48)</f>
        <v/>
      </c>
      <c r="O47" s="7" t="str">
        <f>IF([1]All!$S48=0,"",[1]All!$S48)</f>
        <v/>
      </c>
      <c r="P47" s="7" t="str">
        <f>IF([1]All!$V48=0,"",[1]All!$V48)</f>
        <v>0000000181</v>
      </c>
      <c r="Q47" s="3" t="str">
        <f t="shared" si="5"/>
        <v>$1.81</v>
      </c>
      <c r="R47" s="8" t="str">
        <f>IF([1]All!$F48=0,"",[1]All!$F48)</f>
        <v>MIL-001-1097</v>
      </c>
    </row>
    <row r="48" spans="1:18">
      <c r="A48" s="7"/>
      <c r="B48" s="3">
        <f t="shared" si="0"/>
        <v>70</v>
      </c>
      <c r="C48" s="3" t="str">
        <f t="shared" si="1"/>
        <v>F</v>
      </c>
      <c r="D48" s="9" t="str">
        <f t="shared" si="2"/>
        <v>MIL-001-546</v>
      </c>
      <c r="E48" s="3" t="str">
        <f t="shared" si="3"/>
        <v>AH8W  MIL-001-546</v>
      </c>
      <c r="F48" s="10" t="str">
        <f t="shared" si="4"/>
        <v>PCCN: CRGARM:-:PLISN: AH8W :-:PCC: TIT :-: CAGE: 0UJB5:-:PART NUMBER: MIL-001-546:-:NOMENCLATURE: NUT,PLAIN,ROUND:-:PRICE: $9.55:-:UNIQUE MODS: NO:-:PROPRIETARILY MFG FOR OEM: NO:-: :-: :-: :-:NSN: 5310015673506 :-: NHA: MIL-001-068 :-: NHA NSN: 3040015668243</v>
      </c>
      <c r="G48" s="8" t="str">
        <f>IF([1]All!$B49="","",[1]All!$B49)</f>
        <v xml:space="preserve">AH8W </v>
      </c>
      <c r="H48" s="8"/>
      <c r="I48" s="8" t="str">
        <f>IF([1]All!$D49=0,"",[1]All!$D49)</f>
        <v>F</v>
      </c>
      <c r="J48" s="8" t="str">
        <f>IF([1]All!$E49=0,"",[1]All!$E49)</f>
        <v>0UJB5</v>
      </c>
      <c r="K48" s="8" t="s">
        <v>48</v>
      </c>
      <c r="L48" s="11" t="str">
        <f>IF([1]All!$L49=0,"",[1]All!$L49)</f>
        <v>NUT,PLAIN,ROUND</v>
      </c>
      <c r="M48" s="7" t="str">
        <f>IF([1]All!$AJ49=0,"",[1]All!$AJ49)</f>
        <v xml:space="preserve">AGB6 </v>
      </c>
      <c r="N48" s="7" t="str">
        <f>IF([1]All!$R49=0,"",[1]All!$R49)</f>
        <v>5310</v>
      </c>
      <c r="O48" s="7" t="str">
        <f>IF([1]All!$S49=0,"",[1]All!$S49)</f>
        <v>015673506</v>
      </c>
      <c r="P48" s="7" t="str">
        <f>IF([1]All!$V49=0,"",[1]All!$V49)</f>
        <v>0000000955</v>
      </c>
      <c r="Q48" s="3" t="str">
        <f t="shared" si="5"/>
        <v>$9.55</v>
      </c>
      <c r="R48" s="8" t="str">
        <f>IF([1]All!$F49=0,"",[1]All!$F49)</f>
        <v>MIL-001-546</v>
      </c>
    </row>
    <row r="49" spans="1:18">
      <c r="A49" s="7"/>
      <c r="B49" s="3">
        <f t="shared" si="0"/>
        <v>70</v>
      </c>
      <c r="C49" s="3" t="str">
        <f t="shared" si="1"/>
        <v>F</v>
      </c>
      <c r="D49" s="9" t="str">
        <f t="shared" si="2"/>
        <v>91455A160</v>
      </c>
      <c r="E49" s="3" t="str">
        <f t="shared" si="3"/>
        <v>AJES  91455A160</v>
      </c>
      <c r="F49" s="10" t="str">
        <f t="shared" si="4"/>
        <v>PCCN: CRGARM:-:PLISN: AJES :-:PCC: TIT :-: CAGE: 39428:-:PART NUMBER: 91455A160:-:NOMENCLATURE: WASHER,FLAT:-:PRICE: $0.35:-:UNIQUE MODS: NO:-:PROPRIETARILY MFG FOR OEM: NO:-: :-: :-: :-:NSN: 5310015596998 :-: NHA: MIL-001-068 :-: NHA NSN: 3040015668243</v>
      </c>
      <c r="G49" s="8" t="str">
        <f>IF([1]All!$B50="","",[1]All!$B50)</f>
        <v xml:space="preserve">AJES </v>
      </c>
      <c r="H49" s="8"/>
      <c r="I49" s="8" t="str">
        <f>IF([1]All!$D50=0,"",[1]All!$D50)</f>
        <v>F</v>
      </c>
      <c r="J49" s="8" t="str">
        <f>IF([1]All!$E50=0,"",[1]All!$E50)</f>
        <v>39428</v>
      </c>
      <c r="K49" s="8" t="s">
        <v>49</v>
      </c>
      <c r="L49" s="11" t="str">
        <f>IF([1]All!$L50=0,"",[1]All!$L50)</f>
        <v>WASHER,FLAT</v>
      </c>
      <c r="M49" s="7" t="str">
        <f>IF([1]All!$AJ50=0,"",[1]All!$AJ50)</f>
        <v xml:space="preserve">AGB6 </v>
      </c>
      <c r="N49" s="7" t="str">
        <f>IF([1]All!$R50=0,"",[1]All!$R50)</f>
        <v>5310</v>
      </c>
      <c r="O49" s="7" t="str">
        <f>IF([1]All!$S50=0,"",[1]All!$S50)</f>
        <v>015596998</v>
      </c>
      <c r="P49" s="7" t="str">
        <f>IF([1]All!$V50=0,"",[1]All!$V50)</f>
        <v>0000000035</v>
      </c>
      <c r="Q49" s="3" t="str">
        <f t="shared" si="5"/>
        <v>$0.35</v>
      </c>
      <c r="R49" s="8" t="str">
        <f>IF([1]All!$F50=0,"",[1]All!$F50)</f>
        <v>91455A160</v>
      </c>
    </row>
    <row r="50" spans="1:18">
      <c r="A50" s="7"/>
      <c r="B50" s="3">
        <f t="shared" si="0"/>
        <v>70</v>
      </c>
      <c r="C50" s="3" t="str">
        <f t="shared" si="1"/>
        <v>F</v>
      </c>
      <c r="D50" s="9" t="str">
        <f t="shared" si="2"/>
        <v>90576A147</v>
      </c>
      <c r="E50" s="3" t="str">
        <f t="shared" si="3"/>
        <v>AJLN  90576A147</v>
      </c>
      <c r="F50" s="10" t="str">
        <f t="shared" si="4"/>
        <v>PCCN: CRGARM:-:PLISN: AJLN :-:PCC: TIT :-: CAGE: 39428:-:PART NUMBER: 90576A147:-:NOMENCLATURE: NUT,SELF-LOCKING,HE:-:PRICE: $1.42:-:UNIQUE MODS: NO:-:PROPRIETARILY MFG FOR OEM: NO:-: :-: :-: :-:NSN: 5310015707536 :-: NHA: MIL-001-068 :-: NHA NSN: 3040015668243</v>
      </c>
      <c r="G50" s="8" t="str">
        <f>IF([1]All!$B51="","",[1]All!$B51)</f>
        <v xml:space="preserve">AJLN </v>
      </c>
      <c r="H50" s="8"/>
      <c r="I50" s="8" t="str">
        <f>IF([1]All!$D51=0,"",[1]All!$D51)</f>
        <v>F</v>
      </c>
      <c r="J50" s="8" t="str">
        <f>IF([1]All!$E51=0,"",[1]All!$E51)</f>
        <v>39428</v>
      </c>
      <c r="K50" s="8" t="s">
        <v>50</v>
      </c>
      <c r="L50" s="11" t="str">
        <f>IF([1]All!$L51=0,"",[1]All!$L51)</f>
        <v>NUT,SELF-LOCKING,HE</v>
      </c>
      <c r="M50" s="7" t="str">
        <f>IF([1]All!$AJ51=0,"",[1]All!$AJ51)</f>
        <v xml:space="preserve">AGB6 </v>
      </c>
      <c r="N50" s="7" t="str">
        <f>IF([1]All!$R51=0,"",[1]All!$R51)</f>
        <v>5310</v>
      </c>
      <c r="O50" s="7" t="str">
        <f>IF([1]All!$S51=0,"",[1]All!$S51)</f>
        <v>015707536</v>
      </c>
      <c r="P50" s="7" t="str">
        <f>IF([1]All!$V51=0,"",[1]All!$V51)</f>
        <v>0000000142</v>
      </c>
      <c r="Q50" s="3" t="str">
        <f t="shared" si="5"/>
        <v>$1.42</v>
      </c>
      <c r="R50" s="8" t="str">
        <f>IF([1]All!$F51=0,"",[1]All!$F51)</f>
        <v>90576A147</v>
      </c>
    </row>
    <row r="51" spans="1:18">
      <c r="A51" s="7"/>
      <c r="B51" s="3">
        <f t="shared" si="0"/>
        <v>70</v>
      </c>
      <c r="C51" s="3" t="str">
        <f t="shared" si="1"/>
        <v>F</v>
      </c>
      <c r="D51" s="9" t="str">
        <f t="shared" si="2"/>
        <v>MIL-001-493</v>
      </c>
      <c r="E51" s="3" t="str">
        <f t="shared" si="3"/>
        <v>AJSJ  MIL-001-493</v>
      </c>
      <c r="F51" s="10" t="str">
        <f t="shared" si="4"/>
        <v>PCCN: CRGARM:-:PLISN: AJSJ :-:PCC: TIT :-: CAGE: 0UJB5:-:PART NUMBER: MIL-001-493:-:NOMENCLATURE: VALVE ASSEMBLY:-:PRICE: $231.38:-:UNIQUE MODS: NO:-:PROPRIETARILY MFG FOR OEM: NO:-: :-: :-: :-:NSN: 4820015672344 :-: NHA: MIL-001-068 :-: NHA NSN: 3040015668243</v>
      </c>
      <c r="G51" s="8" t="str">
        <f>IF([1]All!$B52="","",[1]All!$B52)</f>
        <v xml:space="preserve">AJSJ </v>
      </c>
      <c r="H51" s="8"/>
      <c r="I51" s="8" t="str">
        <f>IF([1]All!$D52=0,"",[1]All!$D52)</f>
        <v>F</v>
      </c>
      <c r="J51" s="8" t="str">
        <f>IF([1]All!$E52=0,"",[1]All!$E52)</f>
        <v>0UJB5</v>
      </c>
      <c r="K51" s="8" t="s">
        <v>51</v>
      </c>
      <c r="L51" s="11" t="str">
        <f>IF([1]All!$L52=0,"",[1]All!$L52)</f>
        <v>VALVE ASSEMBLY</v>
      </c>
      <c r="M51" s="7" t="str">
        <f>IF([1]All!$AJ52=0,"",[1]All!$AJ52)</f>
        <v xml:space="preserve">AGB6 </v>
      </c>
      <c r="N51" s="7" t="str">
        <f>IF([1]All!$R52=0,"",[1]All!$R52)</f>
        <v>4820</v>
      </c>
      <c r="O51" s="7" t="str">
        <f>IF([1]All!$S52=0,"",[1]All!$S52)</f>
        <v>015672344</v>
      </c>
      <c r="P51" s="7" t="str">
        <f>IF([1]All!$V52=0,"",[1]All!$V52)</f>
        <v>0000023138</v>
      </c>
      <c r="Q51" s="3" t="str">
        <f t="shared" si="5"/>
        <v>$231.38</v>
      </c>
      <c r="R51" s="8" t="str">
        <f>IF([1]All!$F52=0,"",[1]All!$F52)</f>
        <v>MIL-001-493</v>
      </c>
    </row>
    <row r="52" spans="1:18">
      <c r="A52" s="7"/>
      <c r="B52" s="3">
        <f t="shared" si="0"/>
        <v>70</v>
      </c>
      <c r="C52" s="3" t="str">
        <f t="shared" si="1"/>
        <v>F</v>
      </c>
      <c r="D52" s="9" t="str">
        <f t="shared" si="2"/>
        <v>3011049</v>
      </c>
      <c r="E52" s="3" t="str">
        <f t="shared" si="3"/>
        <v>AJYE  3011049</v>
      </c>
      <c r="F52" s="10" t="str">
        <f t="shared" si="4"/>
        <v>PCCN: CRGARM:-:PLISN: AJYE :-:PCC: TIT :-: CAGE: 1EFH8:-:PART NUMBER: 3011049:-:NOMENCLATURE: SCREW,CAP,HEXAGON H:-:PRICE: $0.20:-:UNIQUE MODS: NO:-:PROPRIETARILY MFG FOR OEM: NO:-: :-: :-: :-:NSN: 5305015881277 :-: NHA: MIL-001-068 :-: NHA NSN: 3040015668243</v>
      </c>
      <c r="G52" s="8" t="str">
        <f>IF([1]All!$B53="","",[1]All!$B53)</f>
        <v xml:space="preserve">AJYE </v>
      </c>
      <c r="H52" s="8"/>
      <c r="I52" s="8" t="str">
        <f>IF([1]All!$D53=0,"",[1]All!$D53)</f>
        <v>F</v>
      </c>
      <c r="J52" s="8" t="str">
        <f>IF([1]All!$E53=0,"",[1]All!$E53)</f>
        <v>1EFH8</v>
      </c>
      <c r="K52" s="8" t="s">
        <v>52</v>
      </c>
      <c r="L52" s="11" t="str">
        <f>IF([1]All!$L53=0,"",[1]All!$L53)</f>
        <v>SCREW,CAP,HEXAGON H</v>
      </c>
      <c r="M52" s="7" t="str">
        <f>IF([1]All!$AJ53=0,"",[1]All!$AJ53)</f>
        <v xml:space="preserve">AGB6 </v>
      </c>
      <c r="N52" s="7" t="str">
        <f>IF([1]All!$R53=0,"",[1]All!$R53)</f>
        <v>5305</v>
      </c>
      <c r="O52" s="7" t="str">
        <f>IF([1]All!$S53=0,"",[1]All!$S53)</f>
        <v>015881277</v>
      </c>
      <c r="P52" s="7" t="str">
        <f>IF([1]All!$V53=0,"",[1]All!$V53)</f>
        <v>0000000020</v>
      </c>
      <c r="Q52" s="3" t="str">
        <f t="shared" si="5"/>
        <v>$0.20</v>
      </c>
      <c r="R52" s="8" t="str">
        <f>IF([1]All!$F53=0,"",[1]All!$F53)</f>
        <v>3011049</v>
      </c>
    </row>
    <row r="53" spans="1:18">
      <c r="A53" s="7"/>
      <c r="B53" s="3">
        <f t="shared" si="0"/>
        <v>70</v>
      </c>
      <c r="C53" s="3" t="str">
        <f t="shared" si="1"/>
        <v>F</v>
      </c>
      <c r="D53" s="9" t="str">
        <f t="shared" si="2"/>
        <v>RP201</v>
      </c>
      <c r="E53" s="3" t="str">
        <f t="shared" si="3"/>
        <v>AJ4A  RP201</v>
      </c>
      <c r="F53" s="10" t="str">
        <f t="shared" si="4"/>
        <v>PCCN: CRGARM:-:PLISN: AJ4A :-:PCC: TIT :-: CAGE: 0UJB5:-:PART NUMBER: RP201:-:NOMENCLATURE: WASHER,FLAT:-:PRICE: $4.23:-:UNIQUE MODS: NO:-:PROPRIETARILY MFG FOR OEM: NO:-: :-: :-: :-:NSN: 5310015469032 :-: NHA: MIL-001-068 :-: NHA NSN: 3040015668243</v>
      </c>
      <c r="G53" s="8" t="str">
        <f>IF([1]All!$B54="","",[1]All!$B54)</f>
        <v xml:space="preserve">AJ4A </v>
      </c>
      <c r="H53" s="8"/>
      <c r="I53" s="8" t="str">
        <f>IF([1]All!$D54=0,"",[1]All!$D54)</f>
        <v>F</v>
      </c>
      <c r="J53" s="8" t="str">
        <f>IF([1]All!$E54=0,"",[1]All!$E54)</f>
        <v>0UJB5</v>
      </c>
      <c r="K53" s="8" t="s">
        <v>26</v>
      </c>
      <c r="L53" s="11" t="str">
        <f>IF([1]All!$L54=0,"",[1]All!$L54)</f>
        <v>WASHER,FLAT</v>
      </c>
      <c r="M53" s="7" t="str">
        <f>IF([1]All!$AJ54=0,"",[1]All!$AJ54)</f>
        <v xml:space="preserve">AGB6 </v>
      </c>
      <c r="N53" s="7" t="str">
        <f>IF([1]All!$R54=0,"",[1]All!$R54)</f>
        <v>5310</v>
      </c>
      <c r="O53" s="7" t="str">
        <f>IF([1]All!$S54=0,"",[1]All!$S54)</f>
        <v>015469032</v>
      </c>
      <c r="P53" s="7" t="str">
        <f>IF([1]All!$V54=0,"",[1]All!$V54)</f>
        <v>0000000423</v>
      </c>
      <c r="Q53" s="3" t="str">
        <f t="shared" si="5"/>
        <v>$4.23</v>
      </c>
      <c r="R53" s="8" t="str">
        <f>IF([1]All!$F54=0,"",[1]All!$F54)</f>
        <v>RP201</v>
      </c>
    </row>
    <row r="54" spans="1:18">
      <c r="A54" s="7"/>
      <c r="B54" s="3">
        <f t="shared" si="0"/>
        <v>70</v>
      </c>
      <c r="C54" s="3" t="str">
        <f t="shared" si="1"/>
        <v>F</v>
      </c>
      <c r="D54" s="9" t="str">
        <f t="shared" si="2"/>
        <v>90576A115</v>
      </c>
      <c r="E54" s="3" t="str">
        <f t="shared" si="3"/>
        <v>AJ96  90576A115</v>
      </c>
      <c r="F54" s="10" t="str">
        <f t="shared" si="4"/>
        <v>PCCN: CRGARM:-:PLISN: AJ96 :-:PCC: TIT :-: CAGE: 39428:-:PART NUMBER: 90576A115:-:NOMENCLATURE: NUT,SELF-LOCKING,HE:-:PRICE: $0.09:-:UNIQUE MODS: NO:-:PROPRIETARILY MFG FOR OEM: NO:-: :-: :-: :-:NSN: 5310014147135 :-: NHA: MIL-001-068 :-: NHA NSN: 3040015668243</v>
      </c>
      <c r="G54" s="8" t="str">
        <f>IF([1]All!$B55="","",[1]All!$B55)</f>
        <v xml:space="preserve">AJ96 </v>
      </c>
      <c r="H54" s="8"/>
      <c r="I54" s="8" t="str">
        <f>IF([1]All!$D55=0,"",[1]All!$D55)</f>
        <v>F</v>
      </c>
      <c r="J54" s="8" t="str">
        <f>IF([1]All!$E55=0,"",[1]All!$E55)</f>
        <v>39428</v>
      </c>
      <c r="K54" s="8" t="s">
        <v>27</v>
      </c>
      <c r="L54" s="11" t="str">
        <f>IF([1]All!$L55=0,"",[1]All!$L55)</f>
        <v>NUT,SELF-LOCKING,HE</v>
      </c>
      <c r="M54" s="7" t="str">
        <f>IF([1]All!$AJ55=0,"",[1]All!$AJ55)</f>
        <v xml:space="preserve">AGB6 </v>
      </c>
      <c r="N54" s="7" t="str">
        <f>IF([1]All!$R55=0,"",[1]All!$R55)</f>
        <v>5310</v>
      </c>
      <c r="O54" s="7" t="str">
        <f>IF([1]All!$S55=0,"",[1]All!$S55)</f>
        <v>014147135</v>
      </c>
      <c r="P54" s="7" t="str">
        <f>IF([1]All!$V55=0,"",[1]All!$V55)</f>
        <v>0000000009</v>
      </c>
      <c r="Q54" s="3" t="str">
        <f t="shared" si="5"/>
        <v>$0.09</v>
      </c>
      <c r="R54" s="8" t="str">
        <f>IF([1]All!$F55=0,"",[1]All!$F55)</f>
        <v>90576A115</v>
      </c>
    </row>
    <row r="55" spans="1:18">
      <c r="A55" s="7"/>
      <c r="B55" s="3">
        <f t="shared" si="0"/>
        <v>70</v>
      </c>
      <c r="C55" s="3" t="str">
        <f t="shared" si="1"/>
        <v>F</v>
      </c>
      <c r="D55" s="9" t="str">
        <f t="shared" si="2"/>
        <v>NI946</v>
      </c>
      <c r="E55" s="3" t="str">
        <f t="shared" si="3"/>
        <v>AKF2  NI946</v>
      </c>
      <c r="F55" s="10" t="str">
        <f t="shared" si="4"/>
        <v>PCCN: CRGARM:-:PLISN: AKF2 :-:PCC: TIT :-: CAGE: 0UJB5:-:PART NUMBER: NI946:-:NOMENCLATURE: ADAPTER,STRAIGHT,PI:-:PRICE: $13.22:-:UNIQUE MODS: NO:-:PROPRIETARILY MFG FOR OEM: NO:-: :-: :-: :-:NSN: 4730015475410 :-: NHA: MIL-001-068 :-: NHA NSN: 3040015668243</v>
      </c>
      <c r="G55" s="8" t="str">
        <f>IF([1]All!$B56="","",[1]All!$B56)</f>
        <v xml:space="preserve">AKF2 </v>
      </c>
      <c r="H55" s="8"/>
      <c r="I55" s="8" t="str">
        <f>IF([1]All!$D56=0,"",[1]All!$D56)</f>
        <v>F</v>
      </c>
      <c r="J55" s="8" t="str">
        <f>IF([1]All!$E56=0,"",[1]All!$E56)</f>
        <v>0UJB5</v>
      </c>
      <c r="K55" s="8" t="s">
        <v>28</v>
      </c>
      <c r="L55" s="11" t="str">
        <f>IF([1]All!$L56=0,"",[1]All!$L56)</f>
        <v>ADAPTER,STRAIGHT,PI</v>
      </c>
      <c r="M55" s="7" t="str">
        <f>IF([1]All!$AJ56=0,"",[1]All!$AJ56)</f>
        <v xml:space="preserve">AGB6 </v>
      </c>
      <c r="N55" s="7" t="str">
        <f>IF([1]All!$R56=0,"",[1]All!$R56)</f>
        <v>4730</v>
      </c>
      <c r="O55" s="7" t="str">
        <f>IF([1]All!$S56=0,"",[1]All!$S56)</f>
        <v>015475410</v>
      </c>
      <c r="P55" s="7" t="str">
        <f>IF([1]All!$V56=0,"",[1]All!$V56)</f>
        <v>0000001322</v>
      </c>
      <c r="Q55" s="3" t="str">
        <f t="shared" si="5"/>
        <v>$13.22</v>
      </c>
      <c r="R55" s="8" t="str">
        <f>IF([1]All!$F56=0,"",[1]All!$F56)</f>
        <v>NI946</v>
      </c>
    </row>
    <row r="56" spans="1:18">
      <c r="A56" s="7"/>
      <c r="B56" s="3">
        <f t="shared" si="0"/>
        <v>70</v>
      </c>
      <c r="C56" s="3" t="str">
        <f t="shared" si="1"/>
        <v>F</v>
      </c>
      <c r="D56" s="9" t="str">
        <f t="shared" si="2"/>
        <v>MIL-001-553</v>
      </c>
      <c r="E56" s="3" t="str">
        <f t="shared" si="3"/>
        <v>AKMY  MIL-001-553</v>
      </c>
      <c r="F56" s="10" t="str">
        <f t="shared" si="4"/>
        <v>PCCN: CRGARM:-:PLISN: AKMY :-:PCC: TIT :-: CAGE: 0UJB5:-:PART NUMBER: MIL-001-553:-:NOMENCLATURE: TUBE ASSEMBLY,METAL:-:PRICE: $63.14:-:UNIQUE MODS: NO:-:PROPRIETARILY MFG FOR OEM: NO:-: :-: :-: :-:NSN: 4710015678264 :-: NHA: MIL-001-068 :-: NHA NSN: 3040015668243</v>
      </c>
      <c r="G56" s="8" t="str">
        <f>IF([1]All!$B57="","",[1]All!$B57)</f>
        <v xml:space="preserve">AKMY </v>
      </c>
      <c r="H56" s="8"/>
      <c r="I56" s="8" t="str">
        <f>IF([1]All!$D57=0,"",[1]All!$D57)</f>
        <v>F</v>
      </c>
      <c r="J56" s="8" t="str">
        <f>IF([1]All!$E57=0,"",[1]All!$E57)</f>
        <v>0UJB5</v>
      </c>
      <c r="K56" s="8" t="s">
        <v>53</v>
      </c>
      <c r="L56" s="11" t="str">
        <f>IF([1]All!$L57=0,"",[1]All!$L57)</f>
        <v>TUBE ASSEMBLY,METAL</v>
      </c>
      <c r="M56" s="7" t="str">
        <f>IF([1]All!$AJ57=0,"",[1]All!$AJ57)</f>
        <v xml:space="preserve">AGB6 </v>
      </c>
      <c r="N56" s="7" t="str">
        <f>IF([1]All!$R57=0,"",[1]All!$R57)</f>
        <v>4710</v>
      </c>
      <c r="O56" s="7" t="str">
        <f>IF([1]All!$S57=0,"",[1]All!$S57)</f>
        <v>015678264</v>
      </c>
      <c r="P56" s="7" t="str">
        <f>IF([1]All!$V57=0,"",[1]All!$V57)</f>
        <v>0000006314</v>
      </c>
      <c r="Q56" s="3" t="str">
        <f t="shared" si="5"/>
        <v>$63.14</v>
      </c>
      <c r="R56" s="8" t="str">
        <f>IF([1]All!$F57=0,"",[1]All!$F57)</f>
        <v>MIL-001-553</v>
      </c>
    </row>
    <row r="57" spans="1:18">
      <c r="A57" s="7"/>
      <c r="B57" s="3">
        <f t="shared" si="0"/>
        <v>70</v>
      </c>
      <c r="C57" s="3" t="str">
        <f t="shared" si="1"/>
        <v>F</v>
      </c>
      <c r="D57" s="9" t="str">
        <f t="shared" si="2"/>
        <v>MIL-001-554</v>
      </c>
      <c r="E57" s="3" t="str">
        <f t="shared" si="3"/>
        <v>AKTU  MIL-001-554</v>
      </c>
      <c r="F57" s="10" t="str">
        <f t="shared" si="4"/>
        <v>PCCN: CRGARM:-:PLISN: AKTU :-:PCC: TIT :-: CAGE: 0UJB5:-:PART NUMBER: MIL-001-554:-:NOMENCLATURE: TUBE ASSEMBLY,METAL:-:PRICE: $61.64:-:UNIQUE MODS: NO:-:PROPRIETARILY MFG FOR OEM: NO:-: :-: :-: :-:NSN: 4710015677862 :-: NHA: MIL-001-068 :-: NHA NSN: 3040015668243</v>
      </c>
      <c r="G57" s="8" t="str">
        <f>IF([1]All!$B58="","",[1]All!$B58)</f>
        <v xml:space="preserve">AKTU </v>
      </c>
      <c r="H57" s="8"/>
      <c r="I57" s="8" t="str">
        <f>IF([1]All!$D58=0,"",[1]All!$D58)</f>
        <v>F</v>
      </c>
      <c r="J57" s="8" t="str">
        <f>IF([1]All!$E58=0,"",[1]All!$E58)</f>
        <v>0UJB5</v>
      </c>
      <c r="K57" s="8" t="s">
        <v>54</v>
      </c>
      <c r="L57" s="11" t="str">
        <f>IF([1]All!$L58=0,"",[1]All!$L58)</f>
        <v>TUBE ASSEMBLY,METAL</v>
      </c>
      <c r="M57" s="7" t="str">
        <f>IF([1]All!$AJ58=0,"",[1]All!$AJ58)</f>
        <v xml:space="preserve">AGB6 </v>
      </c>
      <c r="N57" s="7" t="str">
        <f>IF([1]All!$R58=0,"",[1]All!$R58)</f>
        <v>4710</v>
      </c>
      <c r="O57" s="7" t="str">
        <f>IF([1]All!$S58=0,"",[1]All!$S58)</f>
        <v>015677862</v>
      </c>
      <c r="P57" s="7" t="str">
        <f>IF([1]All!$V58=0,"",[1]All!$V58)</f>
        <v>0000006164</v>
      </c>
      <c r="Q57" s="3" t="str">
        <f t="shared" si="5"/>
        <v>$61.64</v>
      </c>
      <c r="R57" s="8" t="str">
        <f>IF([1]All!$F58=0,"",[1]All!$F58)</f>
        <v>MIL-001-554</v>
      </c>
    </row>
    <row r="58" spans="1:18">
      <c r="A58" s="7"/>
      <c r="B58" s="3">
        <f t="shared" si="0"/>
        <v>70</v>
      </c>
      <c r="C58" s="3" t="str">
        <f t="shared" si="1"/>
        <v>F</v>
      </c>
      <c r="D58" s="9" t="str">
        <f t="shared" si="2"/>
        <v>RS967</v>
      </c>
      <c r="E58" s="3" t="str">
        <f t="shared" si="3"/>
        <v>AKZQ  RS967</v>
      </c>
      <c r="F58" s="10" t="str">
        <f t="shared" si="4"/>
        <v>PCCN: CRGARM:-:PLISN: AKZQ :-:PCC: TIT :-: CAGE: 0UJB5:-:PART NUMBER: RS967:-:NOMENCLATURE: ELBOW,PIPE TO TUBE:-:PRICE: $31.88:-:UNIQUE MODS: NO:-:PROPRIETARILY MFG FOR OEM: NO:-: :-: :-: :-:NSN: 4730015470026 :-: NHA: MIL-001-068 :-: NHA NSN: 3040015668243</v>
      </c>
      <c r="G58" s="8" t="str">
        <f>IF([1]All!$B59="","",[1]All!$B59)</f>
        <v xml:space="preserve">AKZQ </v>
      </c>
      <c r="H58" s="8"/>
      <c r="I58" s="8" t="str">
        <f>IF([1]All!$D59=0,"",[1]All!$D59)</f>
        <v>F</v>
      </c>
      <c r="J58" s="8" t="str">
        <f>IF([1]All!$E59=0,"",[1]All!$E59)</f>
        <v>0UJB5</v>
      </c>
      <c r="K58" s="8" t="s">
        <v>29</v>
      </c>
      <c r="L58" s="11" t="str">
        <f>IF([1]All!$L59=0,"",[1]All!$L59)</f>
        <v>ELBOW,PIPE TO TUBE</v>
      </c>
      <c r="M58" s="7" t="str">
        <f>IF([1]All!$AJ59=0,"",[1]All!$AJ59)</f>
        <v xml:space="preserve">AGB6 </v>
      </c>
      <c r="N58" s="7" t="str">
        <f>IF([1]All!$R59=0,"",[1]All!$R59)</f>
        <v>4730</v>
      </c>
      <c r="O58" s="7" t="str">
        <f>IF([1]All!$S59=0,"",[1]All!$S59)</f>
        <v>015470026</v>
      </c>
      <c r="P58" s="7" t="str">
        <f>IF([1]All!$V59=0,"",[1]All!$V59)</f>
        <v>0000003188</v>
      </c>
      <c r="Q58" s="3" t="str">
        <f t="shared" si="5"/>
        <v>$31.88</v>
      </c>
      <c r="R58" s="8" t="str">
        <f>IF([1]All!$F59=0,"",[1]All!$F59)</f>
        <v>RS967</v>
      </c>
    </row>
    <row r="59" spans="1:18">
      <c r="A59" s="7"/>
      <c r="B59" s="3">
        <f t="shared" si="0"/>
        <v>70</v>
      </c>
      <c r="C59" s="3" t="str">
        <f t="shared" si="1"/>
        <v>F</v>
      </c>
      <c r="D59" s="9" t="str">
        <f t="shared" si="2"/>
        <v>MIL-001-556</v>
      </c>
      <c r="E59" s="3" t="str">
        <f t="shared" si="3"/>
        <v>AK5L  MIL-001-556</v>
      </c>
      <c r="F59" s="10" t="str">
        <f t="shared" si="4"/>
        <v>PCCN: CRGARM:-:PLISN: AK5L :-:PCC: TIT :-: CAGE: 0UJB5:-:PART NUMBER: MIL-001-556:-:NOMENCLATURE: CLAMP,LOOP:-:PRICE: $15.32:-:UNIQUE MODS: NO:-:PROPRIETARILY MFG FOR OEM: NO:-: :-: :-: :-:NSN: 5340015667889 :-: NHA: MIL-001-068 :-: NHA NSN: 3040015668243</v>
      </c>
      <c r="G59" s="8" t="str">
        <f>IF([1]All!$B60="","",[1]All!$B60)</f>
        <v xml:space="preserve">AK5L </v>
      </c>
      <c r="H59" s="8"/>
      <c r="I59" s="8" t="str">
        <f>IF([1]All!$D60=0,"",[1]All!$D60)</f>
        <v>F</v>
      </c>
      <c r="J59" s="8" t="str">
        <f>IF([1]All!$E60=0,"",[1]All!$E60)</f>
        <v>0UJB5</v>
      </c>
      <c r="K59" s="8" t="s">
        <v>55</v>
      </c>
      <c r="L59" s="11" t="str">
        <f>IF([1]All!$L60=0,"",[1]All!$L60)</f>
        <v>CLAMP,LOOP</v>
      </c>
      <c r="M59" s="7" t="str">
        <f>IF([1]All!$AJ60=0,"",[1]All!$AJ60)</f>
        <v xml:space="preserve">AGB6 </v>
      </c>
      <c r="N59" s="7" t="str">
        <f>IF([1]All!$R60=0,"",[1]All!$R60)</f>
        <v>5340</v>
      </c>
      <c r="O59" s="7" t="str">
        <f>IF([1]All!$S60=0,"",[1]All!$S60)</f>
        <v>015667889</v>
      </c>
      <c r="P59" s="7" t="str">
        <f>IF([1]All!$V60=0,"",[1]All!$V60)</f>
        <v>0000001532</v>
      </c>
      <c r="Q59" s="3" t="str">
        <f t="shared" si="5"/>
        <v>$15.32</v>
      </c>
      <c r="R59" s="8" t="str">
        <f>IF([1]All!$F60=0,"",[1]All!$F60)</f>
        <v>MIL-001-556</v>
      </c>
    </row>
    <row r="60" spans="1:18">
      <c r="A60" s="7"/>
      <c r="B60" s="3">
        <f t="shared" si="0"/>
        <v>70</v>
      </c>
      <c r="C60" s="3" t="str">
        <f t="shared" si="1"/>
        <v>F</v>
      </c>
      <c r="D60" s="9" t="str">
        <f t="shared" si="2"/>
        <v>MIL-001-557</v>
      </c>
      <c r="E60" s="3" t="str">
        <f t="shared" si="3"/>
        <v>ALBG  MIL-001-557</v>
      </c>
      <c r="F60" s="10" t="str">
        <f t="shared" si="4"/>
        <v>PCCN: CRGARM:-:PLISN: ALBG :-:PCC: TIT :-: CAGE: 0UJB5:-:PART NUMBER: MIL-001-557:-:NOMENCLATURE: BRACKET,MOUNTING:-:PRICE: $1.89:-:UNIQUE MODS: NO:-:PROPRIETARILY MFG FOR OEM: NO:-: :-: :-: :-:NSN: 5340015667895 :-: NHA: MIL-001-068 :-: NHA NSN: 3040015668243</v>
      </c>
      <c r="G60" s="8" t="str">
        <f>IF([1]All!$B61="","",[1]All!$B61)</f>
        <v xml:space="preserve">ALBG </v>
      </c>
      <c r="H60" s="8"/>
      <c r="I60" s="8" t="str">
        <f>IF([1]All!$D61=0,"",[1]All!$D61)</f>
        <v>F</v>
      </c>
      <c r="J60" s="8" t="str">
        <f>IF([1]All!$E61=0,"",[1]All!$E61)</f>
        <v>0UJB5</v>
      </c>
      <c r="K60" s="8" t="s">
        <v>56</v>
      </c>
      <c r="L60" s="11" t="str">
        <f>IF([1]All!$L61=0,"",[1]All!$L61)</f>
        <v>BRACKET,MOUNTING</v>
      </c>
      <c r="M60" s="7" t="str">
        <f>IF([1]All!$AJ61=0,"",[1]All!$AJ61)</f>
        <v xml:space="preserve">AGB6 </v>
      </c>
      <c r="N60" s="7" t="str">
        <f>IF([1]All!$R61=0,"",[1]All!$R61)</f>
        <v>5340</v>
      </c>
      <c r="O60" s="7" t="str">
        <f>IF([1]All!$S61=0,"",[1]All!$S61)</f>
        <v>015667895</v>
      </c>
      <c r="P60" s="7" t="str">
        <f>IF([1]All!$V61=0,"",[1]All!$V61)</f>
        <v>0000000189</v>
      </c>
      <c r="Q60" s="3" t="str">
        <f t="shared" si="5"/>
        <v>$1.89</v>
      </c>
      <c r="R60" s="8" t="str">
        <f>IF([1]All!$F61=0,"",[1]All!$F61)</f>
        <v>MIL-001-557</v>
      </c>
    </row>
    <row r="61" spans="1:18">
      <c r="A61" s="7"/>
      <c r="B61" s="3">
        <f t="shared" si="0"/>
        <v>69</v>
      </c>
      <c r="C61" s="3" t="str">
        <f t="shared" si="1"/>
        <v>E</v>
      </c>
      <c r="D61" s="9" t="str">
        <f t="shared" si="2"/>
        <v>MIL-001-525</v>
      </c>
      <c r="E61" s="3" t="str">
        <f t="shared" si="3"/>
        <v>ALHC  MIL-001-525</v>
      </c>
      <c r="F61" s="10" t="str">
        <f t="shared" si="4"/>
        <v>PCCN: CRGARM:-:PLISN: ALHC :-:PCC: TIT :-: CAGE: 0UJB5:-:PART NUMBER: MIL-001-525:-:NOMENCLATURE: HOSE ASSEMBLY,NONME:-:PRICE: $163.63:-:UNIQUE MODS: NO:-:PROPRIETARILY MFG FOR OEM: NO:-: :-: :-: :-:NSN: 4720015663936 :-: NHA: MIL-001-396 :-: NHA NSN: 3810015663870</v>
      </c>
      <c r="G61" s="8" t="str">
        <f>IF([1]All!$B62="","",[1]All!$B62)</f>
        <v xml:space="preserve">ALHC </v>
      </c>
      <c r="H61" s="8"/>
      <c r="I61" s="8" t="str">
        <f>IF([1]All!$D62=0,"",[1]All!$D62)</f>
        <v>E</v>
      </c>
      <c r="J61" s="8" t="str">
        <f>IF([1]All!$E62=0,"",[1]All!$E62)</f>
        <v>0UJB5</v>
      </c>
      <c r="K61" s="8" t="s">
        <v>57</v>
      </c>
      <c r="L61" s="11" t="str">
        <f>IF([1]All!$L62=0,"",[1]All!$L62)</f>
        <v>HOSE ASSEMBLY,NONME</v>
      </c>
      <c r="M61" s="7" t="str">
        <f>IF([1]All!$AJ62=0,"",[1]All!$AJ62)</f>
        <v xml:space="preserve">AATY </v>
      </c>
      <c r="N61" s="7" t="str">
        <f>IF([1]All!$R62=0,"",[1]All!$R62)</f>
        <v>4720</v>
      </c>
      <c r="O61" s="7" t="str">
        <f>IF([1]All!$S62=0,"",[1]All!$S62)</f>
        <v>015663936</v>
      </c>
      <c r="P61" s="7" t="str">
        <f>IF([1]All!$V62=0,"",[1]All!$V62)</f>
        <v>0000016363</v>
      </c>
      <c r="Q61" s="3" t="str">
        <f t="shared" si="5"/>
        <v>$163.63</v>
      </c>
      <c r="R61" s="8" t="str">
        <f>IF([1]All!$F62=0,"",[1]All!$F62)</f>
        <v>MIL-001-525</v>
      </c>
    </row>
    <row r="62" spans="1:18">
      <c r="A62" s="7"/>
      <c r="B62" s="3">
        <f t="shared" si="0"/>
        <v>69</v>
      </c>
      <c r="C62" s="3" t="str">
        <f t="shared" si="1"/>
        <v>E</v>
      </c>
      <c r="D62" s="9" t="str">
        <f t="shared" si="2"/>
        <v>MIL-001-495</v>
      </c>
      <c r="E62" s="3" t="str">
        <f t="shared" si="3"/>
        <v>ALN8  MIL-001-495</v>
      </c>
      <c r="F62" s="10" t="str">
        <f t="shared" si="4"/>
        <v>PCCN: CRGARM:-:PLISN: ALN8 :-:PCC: TIT :-: CAGE: 0UJB5:-:PART NUMBER: MIL-001-495:-:NOMENCLATURE: HOSE ASSEMBLY,NONME:-:PRICE: $70.44:-:UNIQUE MODS: NO:-:PROPRIETARILY MFG FOR OEM: NO:-: :-: :-: :-:NSN: 4720015662582 :-: NHA: MIL-001-396 :-: NHA NSN: 3810015663870</v>
      </c>
      <c r="G62" s="8" t="str">
        <f>IF([1]All!$B63="","",[1]All!$B63)</f>
        <v xml:space="preserve">ALN8 </v>
      </c>
      <c r="H62" s="8"/>
      <c r="I62" s="8" t="str">
        <f>IF([1]All!$D63=0,"",[1]All!$D63)</f>
        <v>E</v>
      </c>
      <c r="J62" s="8" t="str">
        <f>IF([1]All!$E63=0,"",[1]All!$E63)</f>
        <v>0UJB5</v>
      </c>
      <c r="K62" s="8" t="s">
        <v>58</v>
      </c>
      <c r="L62" s="11" t="str">
        <f>IF([1]All!$L63=0,"",[1]All!$L63)</f>
        <v>HOSE ASSEMBLY,NONME</v>
      </c>
      <c r="M62" s="7" t="str">
        <f>IF([1]All!$AJ63=0,"",[1]All!$AJ63)</f>
        <v xml:space="preserve">AATY </v>
      </c>
      <c r="N62" s="7" t="str">
        <f>IF([1]All!$R63=0,"",[1]All!$R63)</f>
        <v>4720</v>
      </c>
      <c r="O62" s="7" t="str">
        <f>IF([1]All!$S63=0,"",[1]All!$S63)</f>
        <v>015662582</v>
      </c>
      <c r="P62" s="7" t="str">
        <f>IF([1]All!$V63=0,"",[1]All!$V63)</f>
        <v>0000007044</v>
      </c>
      <c r="Q62" s="3" t="str">
        <f t="shared" si="5"/>
        <v>$70.44</v>
      </c>
      <c r="R62" s="8" t="str">
        <f>IF([1]All!$F63=0,"",[1]All!$F63)</f>
        <v>MIL-001-495</v>
      </c>
    </row>
    <row r="63" spans="1:18">
      <c r="A63" s="7"/>
      <c r="B63" s="3">
        <f t="shared" si="0"/>
        <v>69</v>
      </c>
      <c r="C63" s="3" t="str">
        <f t="shared" si="1"/>
        <v>E</v>
      </c>
      <c r="D63" s="9" t="str">
        <f t="shared" si="2"/>
        <v>MIL-001-069</v>
      </c>
      <c r="E63" s="3" t="str">
        <f t="shared" si="3"/>
        <v>ALU4  MIL-001-069</v>
      </c>
      <c r="F63" s="10" t="str">
        <f t="shared" si="4"/>
        <v>PCCN: CRGARM:-:PLISN: ALU4 :-:PCC: TIT :-: CAGE: 0UJB5:-:PART NUMBER: MIL-001-069:-:NOMENCLATURE: CYLINDER ASSEMBLY,A:-:PRICE: $761.87:-:UNIQUE MODS: NO:-:PROPRIETARILY MFG FOR OEM: NO:-: :-: :-: :-:NSN: 3040015666984 :-: NHA: MIL-001-396 :-: NHA NSN: 3810015663870</v>
      </c>
      <c r="G63" s="8" t="str">
        <f>IF([1]All!$B64="","",[1]All!$B64)</f>
        <v xml:space="preserve">ALU4 </v>
      </c>
      <c r="H63" s="8"/>
      <c r="I63" s="8" t="str">
        <f>IF([1]All!$D64=0,"",[1]All!$D64)</f>
        <v>E</v>
      </c>
      <c r="J63" s="8" t="str">
        <f>IF([1]All!$E64=0,"",[1]All!$E64)</f>
        <v>0UJB5</v>
      </c>
      <c r="K63" s="8" t="s">
        <v>59</v>
      </c>
      <c r="L63" s="11" t="str">
        <f>IF([1]All!$L64=0,"",[1]All!$L64)</f>
        <v>CYLINDER ASSEMBLY,A</v>
      </c>
      <c r="M63" s="7" t="str">
        <f>IF([1]All!$AJ64=0,"",[1]All!$AJ64)</f>
        <v xml:space="preserve">AATY </v>
      </c>
      <c r="N63" s="7" t="str">
        <f>IF([1]All!$R64=0,"",[1]All!$R64)</f>
        <v>3040</v>
      </c>
      <c r="O63" s="7" t="str">
        <f>IF([1]All!$S64=0,"",[1]All!$S64)</f>
        <v>015666984</v>
      </c>
      <c r="P63" s="7" t="str">
        <f>IF([1]All!$V64=0,"",[1]All!$V64)</f>
        <v>0000076187</v>
      </c>
      <c r="Q63" s="3" t="str">
        <f t="shared" si="5"/>
        <v>$761.87</v>
      </c>
      <c r="R63" s="8" t="str">
        <f>IF([1]All!$F64=0,"",[1]All!$F64)</f>
        <v>MIL-001-069</v>
      </c>
    </row>
    <row r="64" spans="1:18">
      <c r="A64" s="7"/>
      <c r="B64" s="3">
        <f t="shared" si="0"/>
        <v>70</v>
      </c>
      <c r="C64" s="3" t="str">
        <f t="shared" si="1"/>
        <v>F</v>
      </c>
      <c r="D64" s="9" t="str">
        <f t="shared" si="2"/>
        <v>MIL-001-492</v>
      </c>
      <c r="E64" s="3" t="str">
        <f t="shared" si="3"/>
        <v>AL00  MIL-001-492</v>
      </c>
      <c r="F64" s="10" t="str">
        <f t="shared" si="4"/>
        <v>PCCN: CRGARM:-:PLISN: AL00 :-:PCC: TIT :-: CAGE: 0UJB5:-:PART NUMBER: MIL-001-492:-:NOMENCLATURE: CYLINDER ASSEMBLY,A:-:PRICE: $492.02:-:UNIQUE MODS: NO:-:PROPRIETARILY MFG FOR OEM: NO:-: :-: :-: :-:NSN: 3040015733727 :-: NHA: MIL-001-069 :-: NHA NSN: 3040015666984</v>
      </c>
      <c r="G64" s="8" t="str">
        <f>IF([1]All!$B65="","",[1]All!$B65)</f>
        <v xml:space="preserve">AL00 </v>
      </c>
      <c r="H64" s="8"/>
      <c r="I64" s="8" t="str">
        <f>IF([1]All!$D65=0,"",[1]All!$D65)</f>
        <v>F</v>
      </c>
      <c r="J64" s="8" t="str">
        <f>IF([1]All!$E65=0,"",[1]All!$E65)</f>
        <v>0UJB5</v>
      </c>
      <c r="K64" s="8" t="s">
        <v>39</v>
      </c>
      <c r="L64" s="11" t="str">
        <f>IF([1]All!$L65=0,"",[1]All!$L65)</f>
        <v>CYLINDER ASSEMBLY,A</v>
      </c>
      <c r="M64" s="7" t="str">
        <f>IF([1]All!$AJ65=0,"",[1]All!$AJ65)</f>
        <v xml:space="preserve">ALU4 </v>
      </c>
      <c r="N64" s="7" t="str">
        <f>IF([1]All!$R65=0,"",[1]All!$R65)</f>
        <v>3040</v>
      </c>
      <c r="O64" s="7" t="str">
        <f>IF([1]All!$S65=0,"",[1]All!$S65)</f>
        <v>015733727</v>
      </c>
      <c r="P64" s="7" t="str">
        <f>IF([1]All!$V65=0,"",[1]All!$V65)</f>
        <v>0000049202</v>
      </c>
      <c r="Q64" s="3" t="str">
        <f t="shared" si="5"/>
        <v>$492.02</v>
      </c>
      <c r="R64" s="8" t="str">
        <f>IF([1]All!$F65=0,"",[1]All!$F65)</f>
        <v>MIL-001-492</v>
      </c>
    </row>
    <row r="65" spans="1:18">
      <c r="A65" s="7"/>
      <c r="B65" s="3">
        <f t="shared" si="0"/>
        <v>71</v>
      </c>
      <c r="C65" s="3" t="str">
        <f t="shared" si="1"/>
        <v>G</v>
      </c>
      <c r="D65" s="9" t="str">
        <f t="shared" si="2"/>
        <v>MIL-001-1089</v>
      </c>
      <c r="E65" s="3" t="str">
        <f t="shared" si="3"/>
        <v>AL6W  MIL-001-1089</v>
      </c>
      <c r="F65" s="10" t="str">
        <f t="shared" si="4"/>
        <v>PCCN: CRGARM:-:PLISN: AL6W :-:PCC: TIT :-: CAGE: 0UJB5:-:PART NUMBER: MIL-001-1089:-:NOMENCLATURE: BODY,CYLINDER:-:PRICE: $165.00:-:UNIQUE MODS: NO:-:PROPRIETARILY MFG FOR OEM: NO:-: :-: :-: :-: :-: NHA: MIL-001-492 :-: NHA NSN: 3040015733727</v>
      </c>
      <c r="G65" s="8" t="str">
        <f>IF([1]All!$B66="","",[1]All!$B66)</f>
        <v xml:space="preserve">AL6W </v>
      </c>
      <c r="H65" s="8"/>
      <c r="I65" s="8" t="str">
        <f>IF([1]All!$D66=0,"",[1]All!$D66)</f>
        <v>G</v>
      </c>
      <c r="J65" s="8" t="str">
        <f>IF([1]All!$E66=0,"",[1]All!$E66)</f>
        <v>0UJB5</v>
      </c>
      <c r="K65" s="8" t="s">
        <v>40</v>
      </c>
      <c r="L65" s="11" t="str">
        <f>IF([1]All!$L66=0,"",[1]All!$L66)</f>
        <v>BODY,CYLINDER</v>
      </c>
      <c r="M65" s="7" t="str">
        <f>IF([1]All!$AJ66=0,"",[1]All!$AJ66)</f>
        <v xml:space="preserve">AL00 </v>
      </c>
      <c r="N65" s="7" t="str">
        <f>IF([1]All!$R66=0,"",[1]All!$R66)</f>
        <v/>
      </c>
      <c r="O65" s="7" t="str">
        <f>IF([1]All!$S66=0,"",[1]All!$S66)</f>
        <v/>
      </c>
      <c r="P65" s="7" t="str">
        <f>IF([1]All!$V66=0,"",[1]All!$V66)</f>
        <v>0000016500</v>
      </c>
      <c r="Q65" s="3" t="str">
        <f t="shared" si="5"/>
        <v>$165.00</v>
      </c>
      <c r="R65" s="8" t="str">
        <f>IF([1]All!$F66=0,"",[1]All!$F66)</f>
        <v>MIL-001-1089</v>
      </c>
    </row>
    <row r="66" spans="1:18">
      <c r="A66" s="7"/>
      <c r="B66" s="3">
        <f t="shared" ref="B66:B129" si="6">IF(C66="","",CODE(C66))</f>
        <v>71</v>
      </c>
      <c r="C66" s="3" t="str">
        <f t="shared" si="1"/>
        <v>G</v>
      </c>
      <c r="D66" s="9" t="str">
        <f t="shared" si="2"/>
        <v>MIL-001-1090</v>
      </c>
      <c r="E66" s="3" t="str">
        <f t="shared" si="3"/>
        <v>AMCS  MIL-001-1090</v>
      </c>
      <c r="F66" s="10" t="str">
        <f t="shared" si="4"/>
        <v>PCCN: CRGARM:-:PLISN: AMCS :-:PCC: TIT :-: CAGE: 0UJB5:-:PART NUMBER: MIL-001-1090:-:NOMENCLATURE: ROD:-:PRICE: $528.70:-:UNIQUE MODS: NO:-:PROPRIETARILY MFG FOR OEM: NO:-: :-: :-: :-: :-: NHA: MIL-001-492 :-: NHA NSN: 3040015733727</v>
      </c>
      <c r="G66" s="8" t="str">
        <f>IF([1]All!$B67="","",[1]All!$B67)</f>
        <v xml:space="preserve">AMCS </v>
      </c>
      <c r="H66" s="8"/>
      <c r="I66" s="8" t="str">
        <f>IF([1]All!$D67=0,"",[1]All!$D67)</f>
        <v>G</v>
      </c>
      <c r="J66" s="8" t="str">
        <f>IF([1]All!$E67=0,"",[1]All!$E67)</f>
        <v>0UJB5</v>
      </c>
      <c r="K66" s="8" t="s">
        <v>41</v>
      </c>
      <c r="L66" s="11" t="str">
        <f>IF([1]All!$L67=0,"",[1]All!$L67)</f>
        <v>ROD</v>
      </c>
      <c r="M66" s="7" t="str">
        <f>IF([1]All!$AJ67=0,"",[1]All!$AJ67)</f>
        <v xml:space="preserve">AL00 </v>
      </c>
      <c r="N66" s="7" t="str">
        <f>IF([1]All!$R67=0,"",[1]All!$R67)</f>
        <v/>
      </c>
      <c r="O66" s="7" t="str">
        <f>IF([1]All!$S67=0,"",[1]All!$S67)</f>
        <v/>
      </c>
      <c r="P66" s="7" t="str">
        <f>IF([1]All!$V67=0,"",[1]All!$V67)</f>
        <v>0000052870</v>
      </c>
      <c r="Q66" s="3" t="str">
        <f t="shared" si="5"/>
        <v>$528.70</v>
      </c>
      <c r="R66" s="8" t="str">
        <f>IF([1]All!$F67=0,"",[1]All!$F67)</f>
        <v>MIL-001-1090</v>
      </c>
    </row>
    <row r="67" spans="1:18">
      <c r="A67" s="7"/>
      <c r="B67" s="3">
        <f t="shared" si="6"/>
        <v>71</v>
      </c>
      <c r="C67" s="3" t="str">
        <f t="shared" ref="C67:C130" si="7">I67</f>
        <v>G</v>
      </c>
      <c r="D67" s="9" t="str">
        <f t="shared" ref="D67:D130" si="8">K67</f>
        <v>MIL-001-1091</v>
      </c>
      <c r="E67" s="3" t="str">
        <f t="shared" ref="E67:E130" si="9">G67&amp;" "&amp;D67</f>
        <v>AMJN  MIL-001-1091</v>
      </c>
      <c r="F67" s="10" t="str">
        <f t="shared" ref="F67:F130" si="10">$A$2&amp;":-:"&amp;"PLISN: "&amp;$G67&amp;":-:"&amp;$A$4&amp;" :-: "&amp;"CAGE: "&amp;J67&amp;":-:"&amp;"PART NUMBER: " &amp; R67&amp;":-:NOMENCLATURE: "&amp;L67&amp;":-:PRICE: " &amp; Q67&amp;":-:"&amp;$A$9&amp;":-:"&amp;$A$10&amp;":-: :-: :-: :-:"&amp;IF(N67="","","NSN: "&amp;N67&amp;O67)&amp;IF(M67="",""," :-: NHA: "&amp;VLOOKUP(M67,G$2:L$65000,5,FALSE)&amp;IF(VLOOKUP(M67,G$2:O$65000,8,FALSE)="",""," :-: NHA NSN: "&amp;VLOOKUP(M67,G$2:O$65000,8,FALSE)&amp;VLOOKUP(M67,G$2:O$65000,9,FALSE)))</f>
        <v>PCCN: CRGARM:-:PLISN: AMJN :-:PCC: TIT :-: CAGE: 0UJB5:-:PART NUMBER: MIL-001-1091:-:NOMENCLATURE: SEAL:-:PRICE: $8.30:-:UNIQUE MODS: NO:-:PROPRIETARILY MFG FOR OEM: NO:-: :-: :-: :-: :-: NHA: MIL-001-492 :-: NHA NSN: 3040015733727</v>
      </c>
      <c r="G67" s="8" t="str">
        <f>IF([1]All!$B68="","",[1]All!$B68)</f>
        <v xml:space="preserve">AMJN </v>
      </c>
      <c r="H67" s="8"/>
      <c r="I67" s="8" t="str">
        <f>IF([1]All!$D68=0,"",[1]All!$D68)</f>
        <v>G</v>
      </c>
      <c r="J67" s="8" t="str">
        <f>IF([1]All!$E68=0,"",[1]All!$E68)</f>
        <v>0UJB5</v>
      </c>
      <c r="K67" s="8" t="s">
        <v>42</v>
      </c>
      <c r="L67" s="11" t="str">
        <f>IF([1]All!$L68=0,"",[1]All!$L68)</f>
        <v>SEAL</v>
      </c>
      <c r="M67" s="7" t="str">
        <f>IF([1]All!$AJ68=0,"",[1]All!$AJ68)</f>
        <v xml:space="preserve">AL00 </v>
      </c>
      <c r="N67" s="7" t="str">
        <f>IF([1]All!$R68=0,"",[1]All!$R68)</f>
        <v/>
      </c>
      <c r="O67" s="7" t="str">
        <f>IF([1]All!$S68=0,"",[1]All!$S68)</f>
        <v/>
      </c>
      <c r="P67" s="7" t="str">
        <f>IF([1]All!$V68=0,"",[1]All!$V68)</f>
        <v>0000000830</v>
      </c>
      <c r="Q67" s="3" t="str">
        <f t="shared" ref="Q67:Q130" si="11">IF(ISERROR(FIND(".",P67*0.01)),"$"&amp;P67*0.01&amp;".00",IF(FIND(".",P67*0.01)&lt;LEN(P67*0.01)-1,"$"&amp;P67*0.01,"$"&amp;P67*0.01&amp;"0"))</f>
        <v>$8.30</v>
      </c>
      <c r="R67" s="8" t="str">
        <f>IF([1]All!$F68=0,"",[1]All!$F68)</f>
        <v>MIL-001-1091</v>
      </c>
    </row>
    <row r="68" spans="1:18">
      <c r="A68" s="7"/>
      <c r="B68" s="3">
        <f t="shared" si="6"/>
        <v>71</v>
      </c>
      <c r="C68" s="3" t="str">
        <f t="shared" si="7"/>
        <v>G</v>
      </c>
      <c r="D68" s="9" t="str">
        <f t="shared" si="8"/>
        <v>MIL-001-1092</v>
      </c>
      <c r="E68" s="3" t="str">
        <f t="shared" si="9"/>
        <v>AMQJ  MIL-001-1092</v>
      </c>
      <c r="F68" s="10" t="str">
        <f t="shared" si="10"/>
        <v>PCCN: CRGARM:-:PLISN: AMQJ :-:PCC: TIT :-: CAGE: 0UJB5:-:PART NUMBER: MIL-001-1092:-:NOMENCLATURE: SEAL:-:PRICE: $11.06:-:UNIQUE MODS: NO:-:PROPRIETARILY MFG FOR OEM: NO:-: :-: :-: :-: :-: NHA: MIL-001-492 :-: NHA NSN: 3040015733727</v>
      </c>
      <c r="G68" s="8" t="str">
        <f>IF([1]All!$B69="","",[1]All!$B69)</f>
        <v xml:space="preserve">AMQJ </v>
      </c>
      <c r="H68" s="8"/>
      <c r="I68" s="8" t="str">
        <f>IF([1]All!$D69=0,"",[1]All!$D69)</f>
        <v>G</v>
      </c>
      <c r="J68" s="8" t="str">
        <f>IF([1]All!$E69=0,"",[1]All!$E69)</f>
        <v>0UJB5</v>
      </c>
      <c r="K68" s="8" t="s">
        <v>43</v>
      </c>
      <c r="L68" s="11" t="str">
        <f>IF([1]All!$L69=0,"",[1]All!$L69)</f>
        <v>SEAL</v>
      </c>
      <c r="M68" s="7" t="str">
        <f>IF([1]All!$AJ69=0,"",[1]All!$AJ69)</f>
        <v xml:space="preserve">AL00 </v>
      </c>
      <c r="N68" s="7" t="str">
        <f>IF([1]All!$R69=0,"",[1]All!$R69)</f>
        <v/>
      </c>
      <c r="O68" s="7" t="str">
        <f>IF([1]All!$S69=0,"",[1]All!$S69)</f>
        <v/>
      </c>
      <c r="P68" s="7" t="str">
        <f>IF([1]All!$V69=0,"",[1]All!$V69)</f>
        <v>0000001106</v>
      </c>
      <c r="Q68" s="3" t="str">
        <f t="shared" si="11"/>
        <v>$11.06</v>
      </c>
      <c r="R68" s="8" t="str">
        <f>IF([1]All!$F69=0,"",[1]All!$F69)</f>
        <v>MIL-001-1092</v>
      </c>
    </row>
    <row r="69" spans="1:18">
      <c r="A69" s="7"/>
      <c r="B69" s="3">
        <f t="shared" si="6"/>
        <v>71</v>
      </c>
      <c r="C69" s="3" t="str">
        <f t="shared" si="7"/>
        <v>G</v>
      </c>
      <c r="D69" s="9" t="str">
        <f t="shared" si="8"/>
        <v>MIL-001-1093</v>
      </c>
      <c r="E69" s="3" t="str">
        <f t="shared" si="9"/>
        <v>AMWE  MIL-001-1093</v>
      </c>
      <c r="F69" s="10" t="str">
        <f t="shared" si="10"/>
        <v>PCCN: CRGARM:-:PLISN: AMWE :-:PCC: TIT :-: CAGE: 0UJB5:-:PART NUMBER: MIL-001-1093:-:NOMENCLATURE: NUT RING:-:PRICE: $168.31:-:UNIQUE MODS: NO:-:PROPRIETARILY MFG FOR OEM: NO:-: :-: :-: :-: :-: NHA: MIL-001-492 :-: NHA NSN: 3040015733727</v>
      </c>
      <c r="G69" s="8" t="str">
        <f>IF([1]All!$B70="","",[1]All!$B70)</f>
        <v xml:space="preserve">AMWE </v>
      </c>
      <c r="H69" s="8"/>
      <c r="I69" s="8" t="str">
        <f>IF([1]All!$D70=0,"",[1]All!$D70)</f>
        <v>G</v>
      </c>
      <c r="J69" s="8" t="str">
        <f>IF([1]All!$E70=0,"",[1]All!$E70)</f>
        <v>0UJB5</v>
      </c>
      <c r="K69" s="8" t="s">
        <v>44</v>
      </c>
      <c r="L69" s="11" t="str">
        <f>IF([1]All!$L70=0,"",[1]All!$L70)</f>
        <v>NUT RING</v>
      </c>
      <c r="M69" s="7" t="str">
        <f>IF([1]All!$AJ70=0,"",[1]All!$AJ70)</f>
        <v xml:space="preserve">AL00 </v>
      </c>
      <c r="N69" s="7" t="str">
        <f>IF([1]All!$R70=0,"",[1]All!$R70)</f>
        <v/>
      </c>
      <c r="O69" s="7" t="str">
        <f>IF([1]All!$S70=0,"",[1]All!$S70)</f>
        <v/>
      </c>
      <c r="P69" s="7" t="str">
        <f>IF([1]All!$V70=0,"",[1]All!$V70)</f>
        <v>0000016831</v>
      </c>
      <c r="Q69" s="3" t="str">
        <f t="shared" si="11"/>
        <v>$168.31</v>
      </c>
      <c r="R69" s="8" t="str">
        <f>IF([1]All!$F70=0,"",[1]All!$F70)</f>
        <v>MIL-001-1093</v>
      </c>
    </row>
    <row r="70" spans="1:18">
      <c r="A70" s="7"/>
      <c r="B70" s="3">
        <f t="shared" si="6"/>
        <v>71</v>
      </c>
      <c r="C70" s="3" t="str">
        <f t="shared" si="7"/>
        <v>G</v>
      </c>
      <c r="D70" s="9" t="str">
        <f t="shared" si="8"/>
        <v>MIL-001-1094</v>
      </c>
      <c r="E70" s="3" t="str">
        <f t="shared" si="9"/>
        <v>AM2A  MIL-001-1094</v>
      </c>
      <c r="F70" s="10" t="str">
        <f t="shared" si="10"/>
        <v>PCCN: CRGARM:-:PLISN: AM2A :-:PCC: TIT :-: CAGE: 0UJB5:-:PART NUMBER: MIL-001-1094:-:NOMENCLATURE: O-RING:-:PRICE: $0.19:-:UNIQUE MODS: NO:-:PROPRIETARILY MFG FOR OEM: NO:-: :-: :-: :-: :-: NHA: MIL-001-492 :-: NHA NSN: 3040015733727</v>
      </c>
      <c r="G70" s="8" t="str">
        <f>IF([1]All!$B71="","",[1]All!$B71)</f>
        <v xml:space="preserve">AM2A </v>
      </c>
      <c r="H70" s="8"/>
      <c r="I70" s="8" t="str">
        <f>IF([1]All!$D71=0,"",[1]All!$D71)</f>
        <v>G</v>
      </c>
      <c r="J70" s="8" t="str">
        <f>IF([1]All!$E71=0,"",[1]All!$E71)</f>
        <v>0UJB5</v>
      </c>
      <c r="K70" s="8" t="s">
        <v>45</v>
      </c>
      <c r="L70" s="11" t="str">
        <f>IF([1]All!$L71=0,"",[1]All!$L71)</f>
        <v>O-RING</v>
      </c>
      <c r="M70" s="7" t="str">
        <f>IF([1]All!$AJ71=0,"",[1]All!$AJ71)</f>
        <v xml:space="preserve">AL00 </v>
      </c>
      <c r="N70" s="7" t="str">
        <f>IF([1]All!$R71=0,"",[1]All!$R71)</f>
        <v/>
      </c>
      <c r="O70" s="7" t="str">
        <f>IF([1]All!$S71=0,"",[1]All!$S71)</f>
        <v/>
      </c>
      <c r="P70" s="7" t="str">
        <f>IF([1]All!$V71=0,"",[1]All!$V71)</f>
        <v>0000000019</v>
      </c>
      <c r="Q70" s="3" t="str">
        <f t="shared" si="11"/>
        <v>$0.19</v>
      </c>
      <c r="R70" s="8" t="str">
        <f>IF([1]All!$F71=0,"",[1]All!$F71)</f>
        <v>MIL-001-1094</v>
      </c>
    </row>
    <row r="71" spans="1:18">
      <c r="A71" s="7"/>
      <c r="B71" s="3">
        <f t="shared" si="6"/>
        <v>71</v>
      </c>
      <c r="C71" s="3" t="str">
        <f t="shared" si="7"/>
        <v>G</v>
      </c>
      <c r="D71" s="9" t="str">
        <f t="shared" si="8"/>
        <v>MIL-001-1095</v>
      </c>
      <c r="E71" s="3" t="str">
        <f t="shared" si="9"/>
        <v>AM76  MIL-001-1095</v>
      </c>
      <c r="F71" s="10" t="str">
        <f t="shared" si="10"/>
        <v>PCCN: CRGARM:-:PLISN: AM76 :-:PCC: TIT :-: CAGE: 0UJB5:-:PART NUMBER: MIL-001-1095:-:NOMENCLATURE: RING, SPLIT:-:PRICE: $6.62:-:UNIQUE MODS: NO:-:PROPRIETARILY MFG FOR OEM: NO:-: :-: :-: :-: :-: NHA: MIL-001-492 :-: NHA NSN: 3040015733727</v>
      </c>
      <c r="G71" s="8" t="str">
        <f>IF([1]All!$B72="","",[1]All!$B72)</f>
        <v xml:space="preserve">AM76 </v>
      </c>
      <c r="H71" s="8"/>
      <c r="I71" s="8" t="str">
        <f>IF([1]All!$D72=0,"",[1]All!$D72)</f>
        <v>G</v>
      </c>
      <c r="J71" s="8" t="str">
        <f>IF([1]All!$E72=0,"",[1]All!$E72)</f>
        <v>0UJB5</v>
      </c>
      <c r="K71" s="8" t="s">
        <v>46</v>
      </c>
      <c r="L71" s="11" t="str">
        <f>IF([1]All!$L72=0,"",[1]All!$L72)</f>
        <v>RING, SPLIT</v>
      </c>
      <c r="M71" s="7" t="str">
        <f>IF([1]All!$AJ72=0,"",[1]All!$AJ72)</f>
        <v xml:space="preserve">AL00 </v>
      </c>
      <c r="N71" s="7" t="str">
        <f>IF([1]All!$R72=0,"",[1]All!$R72)</f>
        <v/>
      </c>
      <c r="O71" s="7" t="str">
        <f>IF([1]All!$S72=0,"",[1]All!$S72)</f>
        <v/>
      </c>
      <c r="P71" s="7" t="str">
        <f>IF([1]All!$V72=0,"",[1]All!$V72)</f>
        <v>0000000662</v>
      </c>
      <c r="Q71" s="3" t="str">
        <f t="shared" si="11"/>
        <v>$6.62</v>
      </c>
      <c r="R71" s="8" t="str">
        <f>IF([1]All!$F72=0,"",[1]All!$F72)</f>
        <v>MIL-001-1095</v>
      </c>
    </row>
    <row r="72" spans="1:18">
      <c r="A72" s="7"/>
      <c r="B72" s="3">
        <f t="shared" si="6"/>
        <v>71</v>
      </c>
      <c r="C72" s="3" t="str">
        <f t="shared" si="7"/>
        <v>G</v>
      </c>
      <c r="D72" s="9" t="str">
        <f t="shared" si="8"/>
        <v>4307500</v>
      </c>
      <c r="E72" s="3" t="str">
        <f t="shared" si="9"/>
        <v>AND2  4307500</v>
      </c>
      <c r="F72" s="10" t="str">
        <f t="shared" si="10"/>
        <v>PCCN: CRGARM:-:PLISN: AND2 :-:PCC: TIT :-: CAGE: 4U211:-:PART NUMBER: 4307500:-:NOMENCLATURE: SEAL:-:PRICE: $4.17:-:UNIQUE MODS: NO:-:PROPRIETARILY MFG FOR OEM: NO:-: :-: :-: :-: :-: NHA: MIL-001-492 :-: NHA NSN: 3040015733727</v>
      </c>
      <c r="G72" s="8" t="str">
        <f>IF([1]All!$B73="","",[1]All!$B73)</f>
        <v xml:space="preserve">AND2 </v>
      </c>
      <c r="H72" s="8"/>
      <c r="I72" s="8" t="str">
        <f>IF([1]All!$D73=0,"",[1]All!$D73)</f>
        <v>G</v>
      </c>
      <c r="J72" s="8" t="str">
        <f>IF([1]All!$E73=0,"",[1]All!$E73)</f>
        <v>4U211</v>
      </c>
      <c r="K72" s="8" t="s">
        <v>429</v>
      </c>
      <c r="L72" s="11" t="str">
        <f>IF([1]All!$L73=0,"",[1]All!$L73)</f>
        <v>SEAL</v>
      </c>
      <c r="M72" s="7" t="str">
        <f>IF([1]All!$AJ73=0,"",[1]All!$AJ73)</f>
        <v xml:space="preserve">AL00 </v>
      </c>
      <c r="N72" s="7" t="str">
        <f>IF([1]All!$R73=0,"",[1]All!$R73)</f>
        <v/>
      </c>
      <c r="O72" s="7" t="str">
        <f>IF([1]All!$S73=0,"",[1]All!$S73)</f>
        <v/>
      </c>
      <c r="P72" s="7" t="str">
        <f>IF([1]All!$V73=0,"",[1]All!$V73)</f>
        <v>0000000417</v>
      </c>
      <c r="Q72" s="3" t="str">
        <f t="shared" si="11"/>
        <v>$4.17</v>
      </c>
      <c r="R72" s="8" t="str">
        <f>IF([1]All!$F73=0,"",[1]All!$F73)</f>
        <v>4307500</v>
      </c>
    </row>
    <row r="73" spans="1:18">
      <c r="A73" s="7"/>
      <c r="B73" s="3">
        <f t="shared" si="6"/>
        <v>71</v>
      </c>
      <c r="C73" s="3" t="str">
        <f t="shared" si="7"/>
        <v>G</v>
      </c>
      <c r="D73" s="9" t="str">
        <f t="shared" si="8"/>
        <v>MIL-001-1097</v>
      </c>
      <c r="E73" s="3" t="str">
        <f t="shared" si="9"/>
        <v>ANKY  MIL-001-1097</v>
      </c>
      <c r="F73" s="10" t="str">
        <f t="shared" si="10"/>
        <v>PCCN: CRGARM:-:PLISN: ANKY :-:PCC: TIT :-: CAGE: 0UJB5:-:PART NUMBER: MIL-001-1097:-:NOMENCLATURE: DUST COVER:-:PRICE: $1.81:-:UNIQUE MODS: NO:-:PROPRIETARILY MFG FOR OEM: NO:-: :-: :-: :-: :-: NHA: MIL-001-492 :-: NHA NSN: 3040015733727</v>
      </c>
      <c r="G73" s="8" t="str">
        <f>IF([1]All!$B74="","",[1]All!$B74)</f>
        <v xml:space="preserve">ANKY </v>
      </c>
      <c r="H73" s="8"/>
      <c r="I73" s="8" t="str">
        <f>IF([1]All!$D74=0,"",[1]All!$D74)</f>
        <v>G</v>
      </c>
      <c r="J73" s="8" t="str">
        <f>IF([1]All!$E74=0,"",[1]All!$E74)</f>
        <v>0UJB5</v>
      </c>
      <c r="K73" s="8" t="s">
        <v>47</v>
      </c>
      <c r="L73" s="11" t="str">
        <f>IF([1]All!$L74=0,"",[1]All!$L74)</f>
        <v>DUST COVER</v>
      </c>
      <c r="M73" s="7" t="str">
        <f>IF([1]All!$AJ74=0,"",[1]All!$AJ74)</f>
        <v xml:space="preserve">AL00 </v>
      </c>
      <c r="N73" s="7" t="str">
        <f>IF([1]All!$R74=0,"",[1]All!$R74)</f>
        <v/>
      </c>
      <c r="O73" s="7" t="str">
        <f>IF([1]All!$S74=0,"",[1]All!$S74)</f>
        <v/>
      </c>
      <c r="P73" s="7" t="str">
        <f>IF([1]All!$V74=0,"",[1]All!$V74)</f>
        <v>0000000181</v>
      </c>
      <c r="Q73" s="3" t="str">
        <f t="shared" si="11"/>
        <v>$1.81</v>
      </c>
      <c r="R73" s="8" t="str">
        <f>IF([1]All!$F74=0,"",[1]All!$F74)</f>
        <v>MIL-001-1097</v>
      </c>
    </row>
    <row r="74" spans="1:18">
      <c r="A74" s="7"/>
      <c r="B74" s="3">
        <f t="shared" si="6"/>
        <v>70</v>
      </c>
      <c r="C74" s="3" t="str">
        <f t="shared" si="7"/>
        <v>F</v>
      </c>
      <c r="D74" s="9" t="str">
        <f t="shared" si="8"/>
        <v>MIL-001-546</v>
      </c>
      <c r="E74" s="3" t="str">
        <f t="shared" si="9"/>
        <v>ANRU  MIL-001-546</v>
      </c>
      <c r="F74" s="10" t="str">
        <f t="shared" si="10"/>
        <v>PCCN: CRGARM:-:PLISN: ANRU :-:PCC: TIT :-: CAGE: 0UJB5:-:PART NUMBER: MIL-001-546:-:NOMENCLATURE: NUT,PLAIN,ROUND:-:PRICE: $9.55:-:UNIQUE MODS: NO:-:PROPRIETARILY MFG FOR OEM: NO:-: :-: :-: :-:NSN: 5310015673506 :-: NHA: MIL-001-069 :-: NHA NSN: 3040015666984</v>
      </c>
      <c r="G74" s="8" t="str">
        <f>IF([1]All!$B75="","",[1]All!$B75)</f>
        <v xml:space="preserve">ANRU </v>
      </c>
      <c r="H74" s="8"/>
      <c r="I74" s="8" t="str">
        <f>IF([1]All!$D75=0,"",[1]All!$D75)</f>
        <v>F</v>
      </c>
      <c r="J74" s="8" t="str">
        <f>IF([1]All!$E75=0,"",[1]All!$E75)</f>
        <v>0UJB5</v>
      </c>
      <c r="K74" s="8" t="s">
        <v>48</v>
      </c>
      <c r="L74" s="11" t="str">
        <f>IF([1]All!$L75=0,"",[1]All!$L75)</f>
        <v>NUT,PLAIN,ROUND</v>
      </c>
      <c r="M74" s="7" t="str">
        <f>IF([1]All!$AJ75=0,"",[1]All!$AJ75)</f>
        <v xml:space="preserve">ALU4 </v>
      </c>
      <c r="N74" s="7" t="str">
        <f>IF([1]All!$R75=0,"",[1]All!$R75)</f>
        <v>5310</v>
      </c>
      <c r="O74" s="7" t="str">
        <f>IF([1]All!$S75=0,"",[1]All!$S75)</f>
        <v>015673506</v>
      </c>
      <c r="P74" s="7" t="str">
        <f>IF([1]All!$V75=0,"",[1]All!$V75)</f>
        <v>0000000955</v>
      </c>
      <c r="Q74" s="3" t="str">
        <f t="shared" si="11"/>
        <v>$9.55</v>
      </c>
      <c r="R74" s="8" t="str">
        <f>IF([1]All!$F75=0,"",[1]All!$F75)</f>
        <v>MIL-001-546</v>
      </c>
    </row>
    <row r="75" spans="1:18">
      <c r="A75" s="7"/>
      <c r="B75" s="3">
        <f t="shared" si="6"/>
        <v>70</v>
      </c>
      <c r="C75" s="3" t="str">
        <f t="shared" si="7"/>
        <v>F</v>
      </c>
      <c r="D75" s="9" t="str">
        <f t="shared" si="8"/>
        <v>91455A160</v>
      </c>
      <c r="E75" s="3" t="str">
        <f t="shared" si="9"/>
        <v>ANXQ  91455A160</v>
      </c>
      <c r="F75" s="10" t="str">
        <f t="shared" si="10"/>
        <v>PCCN: CRGARM:-:PLISN: ANXQ :-:PCC: TIT :-: CAGE: 39428:-:PART NUMBER: 91455A160:-:NOMENCLATURE: WASHER,FLAT:-:PRICE: $0.35:-:UNIQUE MODS: NO:-:PROPRIETARILY MFG FOR OEM: NO:-: :-: :-: :-:NSN: 5310015596998 :-: NHA: MIL-001-069 :-: NHA NSN: 3040015666984</v>
      </c>
      <c r="G75" s="8" t="str">
        <f>IF([1]All!$B76="","",[1]All!$B76)</f>
        <v xml:space="preserve">ANXQ </v>
      </c>
      <c r="H75" s="8"/>
      <c r="I75" s="8" t="str">
        <f>IF([1]All!$D76=0,"",[1]All!$D76)</f>
        <v>F</v>
      </c>
      <c r="J75" s="8" t="str">
        <f>IF([1]All!$E76=0,"",[1]All!$E76)</f>
        <v>39428</v>
      </c>
      <c r="K75" s="8" t="s">
        <v>49</v>
      </c>
      <c r="L75" s="11" t="str">
        <f>IF([1]All!$L76=0,"",[1]All!$L76)</f>
        <v>WASHER,FLAT</v>
      </c>
      <c r="M75" s="7" t="str">
        <f>IF([1]All!$AJ76=0,"",[1]All!$AJ76)</f>
        <v xml:space="preserve">ALU4 </v>
      </c>
      <c r="N75" s="7" t="str">
        <f>IF([1]All!$R76=0,"",[1]All!$R76)</f>
        <v>5310</v>
      </c>
      <c r="O75" s="7" t="str">
        <f>IF([1]All!$S76=0,"",[1]All!$S76)</f>
        <v>015596998</v>
      </c>
      <c r="P75" s="7" t="str">
        <f>IF([1]All!$V76=0,"",[1]All!$V76)</f>
        <v>0000000035</v>
      </c>
      <c r="Q75" s="3" t="str">
        <f t="shared" si="11"/>
        <v>$0.35</v>
      </c>
      <c r="R75" s="8" t="str">
        <f>IF([1]All!$F76=0,"",[1]All!$F76)</f>
        <v>91455A160</v>
      </c>
    </row>
    <row r="76" spans="1:18">
      <c r="A76" s="7"/>
      <c r="B76" s="3">
        <f t="shared" si="6"/>
        <v>70</v>
      </c>
      <c r="C76" s="3" t="str">
        <f t="shared" si="7"/>
        <v>F</v>
      </c>
      <c r="D76" s="9" t="str">
        <f t="shared" si="8"/>
        <v>90576A147</v>
      </c>
      <c r="E76" s="3" t="str">
        <f t="shared" si="9"/>
        <v>AN3L  90576A147</v>
      </c>
      <c r="F76" s="10" t="str">
        <f t="shared" si="10"/>
        <v>PCCN: CRGARM:-:PLISN: AN3L :-:PCC: TIT :-: CAGE: 39428:-:PART NUMBER: 90576A147:-:NOMENCLATURE: NUT,SELF-LOCKING,HE:-:PRICE: $1.42:-:UNIQUE MODS: NO:-:PROPRIETARILY MFG FOR OEM: NO:-: :-: :-: :-:NSN: 5310015707536 :-: NHA: MIL-001-069 :-: NHA NSN: 3040015666984</v>
      </c>
      <c r="G76" s="8" t="str">
        <f>IF([1]All!$B77="","",[1]All!$B77)</f>
        <v xml:space="preserve">AN3L </v>
      </c>
      <c r="H76" s="8"/>
      <c r="I76" s="8" t="str">
        <f>IF([1]All!$D77=0,"",[1]All!$D77)</f>
        <v>F</v>
      </c>
      <c r="J76" s="8" t="str">
        <f>IF([1]All!$E77=0,"",[1]All!$E77)</f>
        <v>39428</v>
      </c>
      <c r="K76" s="8" t="s">
        <v>50</v>
      </c>
      <c r="L76" s="11" t="str">
        <f>IF([1]All!$L77=0,"",[1]All!$L77)</f>
        <v>NUT,SELF-LOCKING,HE</v>
      </c>
      <c r="M76" s="7" t="str">
        <f>IF([1]All!$AJ77=0,"",[1]All!$AJ77)</f>
        <v xml:space="preserve">ALU4 </v>
      </c>
      <c r="N76" s="7" t="str">
        <f>IF([1]All!$R77=0,"",[1]All!$R77)</f>
        <v>5310</v>
      </c>
      <c r="O76" s="7" t="str">
        <f>IF([1]All!$S77=0,"",[1]All!$S77)</f>
        <v>015707536</v>
      </c>
      <c r="P76" s="7" t="str">
        <f>IF([1]All!$V77=0,"",[1]All!$V77)</f>
        <v>0000000142</v>
      </c>
      <c r="Q76" s="3" t="str">
        <f t="shared" si="11"/>
        <v>$1.42</v>
      </c>
      <c r="R76" s="8" t="str">
        <f>IF([1]All!$F77=0,"",[1]All!$F77)</f>
        <v>90576A147</v>
      </c>
    </row>
    <row r="77" spans="1:18">
      <c r="A77" s="7"/>
      <c r="B77" s="3">
        <f t="shared" si="6"/>
        <v>70</v>
      </c>
      <c r="C77" s="3" t="str">
        <f t="shared" si="7"/>
        <v>F</v>
      </c>
      <c r="D77" s="9" t="str">
        <f t="shared" si="8"/>
        <v>MIL-001-493</v>
      </c>
      <c r="E77" s="3" t="str">
        <f t="shared" si="9"/>
        <v>AN9G  MIL-001-493</v>
      </c>
      <c r="F77" s="10" t="str">
        <f t="shared" si="10"/>
        <v>PCCN: CRGARM:-:PLISN: AN9G :-:PCC: TIT :-: CAGE: 0UJB5:-:PART NUMBER: MIL-001-493:-:NOMENCLATURE: VALVE ASSEMBLY:-:PRICE: $231.38:-:UNIQUE MODS: NO:-:PROPRIETARILY MFG FOR OEM: NO:-: :-: :-: :-:NSN: 4820015672344 :-: NHA: MIL-001-069 :-: NHA NSN: 3040015666984</v>
      </c>
      <c r="G77" s="8" t="str">
        <f>IF([1]All!$B78="","",[1]All!$B78)</f>
        <v xml:space="preserve">AN9G </v>
      </c>
      <c r="H77" s="8"/>
      <c r="I77" s="8" t="str">
        <f>IF([1]All!$D78=0,"",[1]All!$D78)</f>
        <v>F</v>
      </c>
      <c r="J77" s="8" t="str">
        <f>IF([1]All!$E78=0,"",[1]All!$E78)</f>
        <v>0UJB5</v>
      </c>
      <c r="K77" s="8" t="s">
        <v>51</v>
      </c>
      <c r="L77" s="11" t="str">
        <f>IF([1]All!$L78=0,"",[1]All!$L78)</f>
        <v>VALVE ASSEMBLY</v>
      </c>
      <c r="M77" s="7" t="str">
        <f>IF([1]All!$AJ78=0,"",[1]All!$AJ78)</f>
        <v xml:space="preserve">ALU4 </v>
      </c>
      <c r="N77" s="7" t="str">
        <f>IF([1]All!$R78=0,"",[1]All!$R78)</f>
        <v>4820</v>
      </c>
      <c r="O77" s="7" t="str">
        <f>IF([1]All!$S78=0,"",[1]All!$S78)</f>
        <v>015672344</v>
      </c>
      <c r="P77" s="7" t="str">
        <f>IF([1]All!$V78=0,"",[1]All!$V78)</f>
        <v>0000023138</v>
      </c>
      <c r="Q77" s="3" t="str">
        <f t="shared" si="11"/>
        <v>$231.38</v>
      </c>
      <c r="R77" s="8" t="str">
        <f>IF([1]All!$F78=0,"",[1]All!$F78)</f>
        <v>MIL-001-493</v>
      </c>
    </row>
    <row r="78" spans="1:18">
      <c r="A78" s="7"/>
      <c r="B78" s="3">
        <f t="shared" si="6"/>
        <v>70</v>
      </c>
      <c r="C78" s="3" t="str">
        <f t="shared" si="7"/>
        <v>F</v>
      </c>
      <c r="D78" s="9" t="str">
        <f t="shared" si="8"/>
        <v>3011049</v>
      </c>
      <c r="E78" s="3" t="str">
        <f t="shared" si="9"/>
        <v>APFC  3011049</v>
      </c>
      <c r="F78" s="10" t="str">
        <f t="shared" si="10"/>
        <v>PCCN: CRGARM:-:PLISN: APFC :-:PCC: TIT :-: CAGE: 1EFH8:-:PART NUMBER: 3011049:-:NOMENCLATURE: SCREW,CAP,HEXAGON H:-:PRICE: $0.20:-:UNIQUE MODS: NO:-:PROPRIETARILY MFG FOR OEM: NO:-: :-: :-: :-:NSN: 5305015881277 :-: NHA: MIL-001-069 :-: NHA NSN: 3040015666984</v>
      </c>
      <c r="G78" s="8" t="str">
        <f>IF([1]All!$B79="","",[1]All!$B79)</f>
        <v xml:space="preserve">APFC </v>
      </c>
      <c r="H78" s="8"/>
      <c r="I78" s="8" t="str">
        <f>IF([1]All!$D79=0,"",[1]All!$D79)</f>
        <v>F</v>
      </c>
      <c r="J78" s="8" t="str">
        <f>IF([1]All!$E79=0,"",[1]All!$E79)</f>
        <v>1EFH8</v>
      </c>
      <c r="K78" s="8" t="s">
        <v>52</v>
      </c>
      <c r="L78" s="11" t="str">
        <f>IF([1]All!$L79=0,"",[1]All!$L79)</f>
        <v>SCREW,CAP,HEXAGON H</v>
      </c>
      <c r="M78" s="7" t="str">
        <f>IF([1]All!$AJ79=0,"",[1]All!$AJ79)</f>
        <v xml:space="preserve">ALU4 </v>
      </c>
      <c r="N78" s="7" t="str">
        <f>IF([1]All!$R79=0,"",[1]All!$R79)</f>
        <v>5305</v>
      </c>
      <c r="O78" s="7" t="str">
        <f>IF([1]All!$S79=0,"",[1]All!$S79)</f>
        <v>015881277</v>
      </c>
      <c r="P78" s="7" t="str">
        <f>IF([1]All!$V79=0,"",[1]All!$V79)</f>
        <v>0000000020</v>
      </c>
      <c r="Q78" s="3" t="str">
        <f t="shared" si="11"/>
        <v>$0.20</v>
      </c>
      <c r="R78" s="8" t="str">
        <f>IF([1]All!$F79=0,"",[1]All!$F79)</f>
        <v>3011049</v>
      </c>
    </row>
    <row r="79" spans="1:18">
      <c r="A79" s="7"/>
      <c r="B79" s="3">
        <f t="shared" si="6"/>
        <v>70</v>
      </c>
      <c r="C79" s="3" t="str">
        <f t="shared" si="7"/>
        <v>F</v>
      </c>
      <c r="D79" s="9" t="str">
        <f t="shared" si="8"/>
        <v>RP201</v>
      </c>
      <c r="E79" s="3" t="str">
        <f t="shared" si="9"/>
        <v>APL8  RP201</v>
      </c>
      <c r="F79" s="10" t="str">
        <f t="shared" si="10"/>
        <v>PCCN: CRGARM:-:PLISN: APL8 :-:PCC: TIT :-: CAGE: 0UJB5:-:PART NUMBER: RP201:-:NOMENCLATURE: WASHER,FLAT:-:PRICE: $4.23:-:UNIQUE MODS: NO:-:PROPRIETARILY MFG FOR OEM: NO:-: :-: :-: :-:NSN: 5310015469032 :-: NHA: MIL-001-069 :-: NHA NSN: 3040015666984</v>
      </c>
      <c r="G79" s="8" t="str">
        <f>IF([1]All!$B80="","",[1]All!$B80)</f>
        <v xml:space="preserve">APL8 </v>
      </c>
      <c r="H79" s="8"/>
      <c r="I79" s="8" t="str">
        <f>IF([1]All!$D80=0,"",[1]All!$D80)</f>
        <v>F</v>
      </c>
      <c r="J79" s="8" t="str">
        <f>IF([1]All!$E80=0,"",[1]All!$E80)</f>
        <v>0UJB5</v>
      </c>
      <c r="K79" s="8" t="s">
        <v>26</v>
      </c>
      <c r="L79" s="11" t="str">
        <f>IF([1]All!$L80=0,"",[1]All!$L80)</f>
        <v>WASHER,FLAT</v>
      </c>
      <c r="M79" s="7" t="str">
        <f>IF([1]All!$AJ80=0,"",[1]All!$AJ80)</f>
        <v xml:space="preserve">ALU4 </v>
      </c>
      <c r="N79" s="7" t="str">
        <f>IF([1]All!$R80=0,"",[1]All!$R80)</f>
        <v>5310</v>
      </c>
      <c r="O79" s="7" t="str">
        <f>IF([1]All!$S80=0,"",[1]All!$S80)</f>
        <v>015469032</v>
      </c>
      <c r="P79" s="7" t="str">
        <f>IF([1]All!$V80=0,"",[1]All!$V80)</f>
        <v>0000000423</v>
      </c>
      <c r="Q79" s="3" t="str">
        <f t="shared" si="11"/>
        <v>$4.23</v>
      </c>
      <c r="R79" s="8" t="str">
        <f>IF([1]All!$F80=0,"",[1]All!$F80)</f>
        <v>RP201</v>
      </c>
    </row>
    <row r="80" spans="1:18">
      <c r="A80" s="7"/>
      <c r="B80" s="3">
        <f t="shared" si="6"/>
        <v>70</v>
      </c>
      <c r="C80" s="3" t="str">
        <f t="shared" si="7"/>
        <v>F</v>
      </c>
      <c r="D80" s="9" t="str">
        <f t="shared" si="8"/>
        <v>90576A115</v>
      </c>
      <c r="E80" s="3" t="str">
        <f t="shared" si="9"/>
        <v>APS4  90576A115</v>
      </c>
      <c r="F80" s="10" t="str">
        <f t="shared" si="10"/>
        <v>PCCN: CRGARM:-:PLISN: APS4 :-:PCC: TIT :-: CAGE: 39428:-:PART NUMBER: 90576A115:-:NOMENCLATURE: NUT,SELF-LOCKING,HE:-:PRICE: $0.09:-:UNIQUE MODS: NO:-:PROPRIETARILY MFG FOR OEM: NO:-: :-: :-: :-:NSN: 5310014147135 :-: NHA: MIL-001-069 :-: NHA NSN: 3040015666984</v>
      </c>
      <c r="G80" s="8" t="str">
        <f>IF([1]All!$B81="","",[1]All!$B81)</f>
        <v xml:space="preserve">APS4 </v>
      </c>
      <c r="H80" s="8"/>
      <c r="I80" s="8" t="str">
        <f>IF([1]All!$D81=0,"",[1]All!$D81)</f>
        <v>F</v>
      </c>
      <c r="J80" s="8" t="str">
        <f>IF([1]All!$E81=0,"",[1]All!$E81)</f>
        <v>39428</v>
      </c>
      <c r="K80" s="8" t="s">
        <v>27</v>
      </c>
      <c r="L80" s="11" t="str">
        <f>IF([1]All!$L81=0,"",[1]All!$L81)</f>
        <v>NUT,SELF-LOCKING,HE</v>
      </c>
      <c r="M80" s="7" t="str">
        <f>IF([1]All!$AJ81=0,"",[1]All!$AJ81)</f>
        <v xml:space="preserve">ALU4 </v>
      </c>
      <c r="N80" s="7" t="str">
        <f>IF([1]All!$R81=0,"",[1]All!$R81)</f>
        <v>5310</v>
      </c>
      <c r="O80" s="7" t="str">
        <f>IF([1]All!$S81=0,"",[1]All!$S81)</f>
        <v>014147135</v>
      </c>
      <c r="P80" s="7" t="str">
        <f>IF([1]All!$V81=0,"",[1]All!$V81)</f>
        <v>0000000009</v>
      </c>
      <c r="Q80" s="3" t="str">
        <f t="shared" si="11"/>
        <v>$0.09</v>
      </c>
      <c r="R80" s="8" t="str">
        <f>IF([1]All!$F81=0,"",[1]All!$F81)</f>
        <v>90576A115</v>
      </c>
    </row>
    <row r="81" spans="1:18">
      <c r="A81" s="7"/>
      <c r="B81" s="3">
        <f t="shared" si="6"/>
        <v>70</v>
      </c>
      <c r="C81" s="3" t="str">
        <f t="shared" si="7"/>
        <v>F</v>
      </c>
      <c r="D81" s="9" t="str">
        <f t="shared" si="8"/>
        <v>NI946</v>
      </c>
      <c r="E81" s="3" t="str">
        <f t="shared" si="9"/>
        <v>APY0  NI946</v>
      </c>
      <c r="F81" s="10" t="str">
        <f t="shared" si="10"/>
        <v>PCCN: CRGARM:-:PLISN: APY0 :-:PCC: TIT :-: CAGE: 0UJB5:-:PART NUMBER: NI946:-:NOMENCLATURE: ADAPTER,STRAIGHT,PI:-:PRICE: $13.22:-:UNIQUE MODS: NO:-:PROPRIETARILY MFG FOR OEM: NO:-: :-: :-: :-:NSN: 4730015475410 :-: NHA: MIL-001-069 :-: NHA NSN: 3040015666984</v>
      </c>
      <c r="G81" s="8" t="str">
        <f>IF([1]All!$B82="","",[1]All!$B82)</f>
        <v xml:space="preserve">APY0 </v>
      </c>
      <c r="H81" s="8"/>
      <c r="I81" s="8" t="str">
        <f>IF([1]All!$D82=0,"",[1]All!$D82)</f>
        <v>F</v>
      </c>
      <c r="J81" s="8" t="str">
        <f>IF([1]All!$E82=0,"",[1]All!$E82)</f>
        <v>0UJB5</v>
      </c>
      <c r="K81" s="8" t="s">
        <v>28</v>
      </c>
      <c r="L81" s="11" t="str">
        <f>IF([1]All!$L82=0,"",[1]All!$L82)</f>
        <v>ADAPTER,STRAIGHT,PI</v>
      </c>
      <c r="M81" s="7" t="str">
        <f>IF([1]All!$AJ82=0,"",[1]All!$AJ82)</f>
        <v xml:space="preserve">ALU4 </v>
      </c>
      <c r="N81" s="7" t="str">
        <f>IF([1]All!$R82=0,"",[1]All!$R82)</f>
        <v>4730</v>
      </c>
      <c r="O81" s="7" t="str">
        <f>IF([1]All!$S82=0,"",[1]All!$S82)</f>
        <v>015475410</v>
      </c>
      <c r="P81" s="7" t="str">
        <f>IF([1]All!$V82=0,"",[1]All!$V82)</f>
        <v>0000001322</v>
      </c>
      <c r="Q81" s="3" t="str">
        <f t="shared" si="11"/>
        <v>$13.22</v>
      </c>
      <c r="R81" s="8" t="str">
        <f>IF([1]All!$F82=0,"",[1]All!$F82)</f>
        <v>NI946</v>
      </c>
    </row>
    <row r="82" spans="1:18">
      <c r="A82" s="7"/>
      <c r="B82" s="3">
        <f t="shared" si="6"/>
        <v>70</v>
      </c>
      <c r="C82" s="3" t="str">
        <f t="shared" si="7"/>
        <v>F</v>
      </c>
      <c r="D82" s="9" t="str">
        <f t="shared" si="8"/>
        <v>MIL-001-553</v>
      </c>
      <c r="E82" s="3" t="str">
        <f t="shared" si="9"/>
        <v>AP4W  MIL-001-553</v>
      </c>
      <c r="F82" s="10" t="str">
        <f t="shared" si="10"/>
        <v>PCCN: CRGARM:-:PLISN: AP4W :-:PCC: TIT :-: CAGE: 0UJB5:-:PART NUMBER: MIL-001-553:-:NOMENCLATURE: TUBE ASSEMBLY,METAL:-:PRICE: $63.14:-:UNIQUE MODS: NO:-:PROPRIETARILY MFG FOR OEM: NO:-: :-: :-: :-:NSN: 4710015678264 :-: NHA: MIL-001-069 :-: NHA NSN: 3040015666984</v>
      </c>
      <c r="G82" s="8" t="str">
        <f>IF([1]All!$B83="","",[1]All!$B83)</f>
        <v xml:space="preserve">AP4W </v>
      </c>
      <c r="H82" s="8"/>
      <c r="I82" s="8" t="str">
        <f>IF([1]All!$D83=0,"",[1]All!$D83)</f>
        <v>F</v>
      </c>
      <c r="J82" s="8" t="str">
        <f>IF([1]All!$E83=0,"",[1]All!$E83)</f>
        <v>0UJB5</v>
      </c>
      <c r="K82" s="8" t="s">
        <v>53</v>
      </c>
      <c r="L82" s="11" t="str">
        <f>IF([1]All!$L83=0,"",[1]All!$L83)</f>
        <v>TUBE ASSEMBLY,METAL</v>
      </c>
      <c r="M82" s="7" t="str">
        <f>IF([1]All!$AJ83=0,"",[1]All!$AJ83)</f>
        <v xml:space="preserve">ALU4 </v>
      </c>
      <c r="N82" s="7" t="str">
        <f>IF([1]All!$R83=0,"",[1]All!$R83)</f>
        <v>4710</v>
      </c>
      <c r="O82" s="7" t="str">
        <f>IF([1]All!$S83=0,"",[1]All!$S83)</f>
        <v>015678264</v>
      </c>
      <c r="P82" s="7" t="str">
        <f>IF([1]All!$V83=0,"",[1]All!$V83)</f>
        <v>0000006314</v>
      </c>
      <c r="Q82" s="3" t="str">
        <f t="shared" si="11"/>
        <v>$63.14</v>
      </c>
      <c r="R82" s="8" t="str">
        <f>IF([1]All!$F83=0,"",[1]All!$F83)</f>
        <v>MIL-001-553</v>
      </c>
    </row>
    <row r="83" spans="1:18">
      <c r="A83" s="7"/>
      <c r="B83" s="3">
        <f t="shared" si="6"/>
        <v>70</v>
      </c>
      <c r="C83" s="3" t="str">
        <f t="shared" si="7"/>
        <v>F</v>
      </c>
      <c r="D83" s="9" t="str">
        <f t="shared" si="8"/>
        <v>MIL-001-554</v>
      </c>
      <c r="E83" s="3" t="str">
        <f t="shared" si="9"/>
        <v>AQAS  MIL-001-554</v>
      </c>
      <c r="F83" s="10" t="str">
        <f t="shared" si="10"/>
        <v>PCCN: CRGARM:-:PLISN: AQAS :-:PCC: TIT :-: CAGE: 0UJB5:-:PART NUMBER: MIL-001-554:-:NOMENCLATURE: TUBE ASSEMBLY,METAL:-:PRICE: $61.64:-:UNIQUE MODS: NO:-:PROPRIETARILY MFG FOR OEM: NO:-: :-: :-: :-:NSN: 4710015677862 :-: NHA: MIL-001-069 :-: NHA NSN: 3040015666984</v>
      </c>
      <c r="G83" s="8" t="str">
        <f>IF([1]All!$B84="","",[1]All!$B84)</f>
        <v xml:space="preserve">AQAS </v>
      </c>
      <c r="H83" s="8"/>
      <c r="I83" s="8" t="str">
        <f>IF([1]All!$D84=0,"",[1]All!$D84)</f>
        <v>F</v>
      </c>
      <c r="J83" s="8" t="str">
        <f>IF([1]All!$E84=0,"",[1]All!$E84)</f>
        <v>0UJB5</v>
      </c>
      <c r="K83" s="8" t="s">
        <v>54</v>
      </c>
      <c r="L83" s="11" t="str">
        <f>IF([1]All!$L84=0,"",[1]All!$L84)</f>
        <v>TUBE ASSEMBLY,METAL</v>
      </c>
      <c r="M83" s="7" t="str">
        <f>IF([1]All!$AJ84=0,"",[1]All!$AJ84)</f>
        <v xml:space="preserve">ALU4 </v>
      </c>
      <c r="N83" s="7" t="str">
        <f>IF([1]All!$R84=0,"",[1]All!$R84)</f>
        <v>4710</v>
      </c>
      <c r="O83" s="7" t="str">
        <f>IF([1]All!$S84=0,"",[1]All!$S84)</f>
        <v>015677862</v>
      </c>
      <c r="P83" s="7" t="str">
        <f>IF([1]All!$V84=0,"",[1]All!$V84)</f>
        <v>0000006164</v>
      </c>
      <c r="Q83" s="3" t="str">
        <f t="shared" si="11"/>
        <v>$61.64</v>
      </c>
      <c r="R83" s="8" t="str">
        <f>IF([1]All!$F84=0,"",[1]All!$F84)</f>
        <v>MIL-001-554</v>
      </c>
    </row>
    <row r="84" spans="1:18">
      <c r="A84" s="7"/>
      <c r="B84" s="3">
        <f t="shared" si="6"/>
        <v>70</v>
      </c>
      <c r="C84" s="3" t="str">
        <f t="shared" si="7"/>
        <v>F</v>
      </c>
      <c r="D84" s="9" t="str">
        <f t="shared" si="8"/>
        <v>MIL-001-556</v>
      </c>
      <c r="E84" s="3" t="str">
        <f t="shared" si="9"/>
        <v>AQGN  MIL-001-556</v>
      </c>
      <c r="F84" s="10" t="str">
        <f t="shared" si="10"/>
        <v>PCCN: CRGARM:-:PLISN: AQGN :-:PCC: TIT :-: CAGE: 0UJB5:-:PART NUMBER: MIL-001-556:-:NOMENCLATURE: CLAMP,LOOP:-:PRICE: $15.32:-:UNIQUE MODS: NO:-:PROPRIETARILY MFG FOR OEM: NO:-: :-: :-: :-:NSN: 5340015667889 :-: NHA: MIL-001-069 :-: NHA NSN: 3040015666984</v>
      </c>
      <c r="G84" s="8" t="str">
        <f>IF([1]All!$B85="","",[1]All!$B85)</f>
        <v xml:space="preserve">AQGN </v>
      </c>
      <c r="H84" s="8"/>
      <c r="I84" s="8" t="str">
        <f>IF([1]All!$D85=0,"",[1]All!$D85)</f>
        <v>F</v>
      </c>
      <c r="J84" s="8" t="str">
        <f>IF([1]All!$E85=0,"",[1]All!$E85)</f>
        <v>0UJB5</v>
      </c>
      <c r="K84" s="8" t="s">
        <v>55</v>
      </c>
      <c r="L84" s="11" t="str">
        <f>IF([1]All!$L85=0,"",[1]All!$L85)</f>
        <v>CLAMP,LOOP</v>
      </c>
      <c r="M84" s="7" t="str">
        <f>IF([1]All!$AJ85=0,"",[1]All!$AJ85)</f>
        <v xml:space="preserve">ALU4 </v>
      </c>
      <c r="N84" s="7" t="str">
        <f>IF([1]All!$R85=0,"",[1]All!$R85)</f>
        <v>5340</v>
      </c>
      <c r="O84" s="7" t="str">
        <f>IF([1]All!$S85=0,"",[1]All!$S85)</f>
        <v>015667889</v>
      </c>
      <c r="P84" s="7" t="str">
        <f>IF([1]All!$V85=0,"",[1]All!$V85)</f>
        <v>0000001532</v>
      </c>
      <c r="Q84" s="3" t="str">
        <f t="shared" si="11"/>
        <v>$15.32</v>
      </c>
      <c r="R84" s="8" t="str">
        <f>IF([1]All!$F85=0,"",[1]All!$F85)</f>
        <v>MIL-001-556</v>
      </c>
    </row>
    <row r="85" spans="1:18">
      <c r="A85" s="7"/>
      <c r="B85" s="3">
        <f t="shared" si="6"/>
        <v>70</v>
      </c>
      <c r="C85" s="3" t="str">
        <f t="shared" si="7"/>
        <v>F</v>
      </c>
      <c r="D85" s="9" t="str">
        <f t="shared" si="8"/>
        <v>MIL-001-557</v>
      </c>
      <c r="E85" s="3" t="str">
        <f t="shared" si="9"/>
        <v>AQNJ  MIL-001-557</v>
      </c>
      <c r="F85" s="10" t="str">
        <f t="shared" si="10"/>
        <v>PCCN: CRGARM:-:PLISN: AQNJ :-:PCC: TIT :-: CAGE: 0UJB5:-:PART NUMBER: MIL-001-557:-:NOMENCLATURE: BRACKET,MOUNTING:-:PRICE: $1.89:-:UNIQUE MODS: NO:-:PROPRIETARILY MFG FOR OEM: NO:-: :-: :-: :-:NSN: 5340015667895 :-: NHA: MIL-001-069 :-: NHA NSN: 3040015666984</v>
      </c>
      <c r="G85" s="8" t="str">
        <f>IF([1]All!$B86="","",[1]All!$B86)</f>
        <v xml:space="preserve">AQNJ </v>
      </c>
      <c r="H85" s="8"/>
      <c r="I85" s="8" t="str">
        <f>IF([1]All!$D86=0,"",[1]All!$D86)</f>
        <v>F</v>
      </c>
      <c r="J85" s="8" t="str">
        <f>IF([1]All!$E86=0,"",[1]All!$E86)</f>
        <v>0UJB5</v>
      </c>
      <c r="K85" s="8" t="s">
        <v>56</v>
      </c>
      <c r="L85" s="11" t="str">
        <f>IF([1]All!$L86=0,"",[1]All!$L86)</f>
        <v>BRACKET,MOUNTING</v>
      </c>
      <c r="M85" s="7" t="str">
        <f>IF([1]All!$AJ86=0,"",[1]All!$AJ86)</f>
        <v xml:space="preserve">ALU4 </v>
      </c>
      <c r="N85" s="7" t="str">
        <f>IF([1]All!$R86=0,"",[1]All!$R86)</f>
        <v>5340</v>
      </c>
      <c r="O85" s="7" t="str">
        <f>IF([1]All!$S86=0,"",[1]All!$S86)</f>
        <v>015667895</v>
      </c>
      <c r="P85" s="7" t="str">
        <f>IF([1]All!$V86=0,"",[1]All!$V86)</f>
        <v>0000000189</v>
      </c>
      <c r="Q85" s="3" t="str">
        <f t="shared" si="11"/>
        <v>$1.89</v>
      </c>
      <c r="R85" s="8" t="str">
        <f>IF([1]All!$F86=0,"",[1]All!$F86)</f>
        <v>MIL-001-557</v>
      </c>
    </row>
    <row r="86" spans="1:18">
      <c r="A86" s="7"/>
      <c r="B86" s="3">
        <f t="shared" si="6"/>
        <v>69</v>
      </c>
      <c r="C86" s="3" t="str">
        <f t="shared" si="7"/>
        <v>E</v>
      </c>
      <c r="D86" s="9" t="str">
        <f t="shared" si="8"/>
        <v>MIL-001-497</v>
      </c>
      <c r="E86" s="3" t="str">
        <f t="shared" si="9"/>
        <v>AQUE  MIL-001-497</v>
      </c>
      <c r="F86" s="10" t="str">
        <f t="shared" si="10"/>
        <v>PCCN: CRGARM:-:PLISN: AQUE :-:PCC: TIT :-: CAGE: 0UJB5:-:PART NUMBER: MIL-001-497:-:NOMENCLATURE: TUBE ASSEMBLY,METAL:-:PRICE: $69.60:-:UNIQUE MODS: NO:-:PROPRIETARILY MFG FOR OEM: NO:-: :-: :-: :-:NSN: 4710015660660 :-: NHA: MIL-001-396 :-: NHA NSN: 3810015663870</v>
      </c>
      <c r="G86" s="8" t="str">
        <f>IF([1]All!$B87="","",[1]All!$B87)</f>
        <v xml:space="preserve">AQUE </v>
      </c>
      <c r="H86" s="8"/>
      <c r="I86" s="8" t="str">
        <f>IF([1]All!$D87=0,"",[1]All!$D87)</f>
        <v>E</v>
      </c>
      <c r="J86" s="8" t="str">
        <f>IF([1]All!$E87=0,"",[1]All!$E87)</f>
        <v>0UJB5</v>
      </c>
      <c r="K86" s="8" t="s">
        <v>60</v>
      </c>
      <c r="L86" s="11" t="str">
        <f>IF([1]All!$L87=0,"",[1]All!$L87)</f>
        <v>TUBE ASSEMBLY,METAL</v>
      </c>
      <c r="M86" s="7" t="str">
        <f>IF([1]All!$AJ87=0,"",[1]All!$AJ87)</f>
        <v xml:space="preserve">AATY </v>
      </c>
      <c r="N86" s="7" t="str">
        <f>IF([1]All!$R87=0,"",[1]All!$R87)</f>
        <v>4710</v>
      </c>
      <c r="O86" s="7" t="str">
        <f>IF([1]All!$S87=0,"",[1]All!$S87)</f>
        <v>015660660</v>
      </c>
      <c r="P86" s="7" t="str">
        <f>IF([1]All!$V87=0,"",[1]All!$V87)</f>
        <v>0000006960</v>
      </c>
      <c r="Q86" s="3" t="str">
        <f t="shared" si="11"/>
        <v>$69.60</v>
      </c>
      <c r="R86" s="8" t="str">
        <f>IF([1]All!$F87=0,"",[1]All!$F87)</f>
        <v>MIL-001-497</v>
      </c>
    </row>
    <row r="87" spans="1:18">
      <c r="A87" s="7"/>
      <c r="B87" s="3">
        <f t="shared" si="6"/>
        <v>69</v>
      </c>
      <c r="C87" s="3" t="str">
        <f t="shared" si="7"/>
        <v>E</v>
      </c>
      <c r="D87" s="9" t="str">
        <f t="shared" si="8"/>
        <v>MIL-001-496</v>
      </c>
      <c r="E87" s="3" t="str">
        <f t="shared" si="9"/>
        <v>AQ0A  MIL-001-496</v>
      </c>
      <c r="F87" s="10" t="str">
        <f t="shared" si="10"/>
        <v>PCCN: CRGARM:-:PLISN: AQ0A :-:PCC: TIT :-: CAGE: 0UJB5:-:PART NUMBER: MIL-001-496:-:NOMENCLATURE: HOSE ASSEMBLY,NONME:-:PRICE: $103.75:-:UNIQUE MODS: NO:-:PROPRIETARILY MFG FOR OEM: NO:-: :-: :-: :-:NSN: 4720015663879 :-: NHA: MIL-001-396 :-: NHA NSN: 3810015663870</v>
      </c>
      <c r="G87" s="8" t="str">
        <f>IF([1]All!$B88="","",[1]All!$B88)</f>
        <v xml:space="preserve">AQ0A </v>
      </c>
      <c r="H87" s="8"/>
      <c r="I87" s="8" t="str">
        <f>IF([1]All!$D88=0,"",[1]All!$D88)</f>
        <v>E</v>
      </c>
      <c r="J87" s="8" t="str">
        <f>IF([1]All!$E88=0,"",[1]All!$E88)</f>
        <v>0UJB5</v>
      </c>
      <c r="K87" s="8" t="s">
        <v>61</v>
      </c>
      <c r="L87" s="11" t="str">
        <f>IF([1]All!$L88=0,"",[1]All!$L88)</f>
        <v>HOSE ASSEMBLY,NONME</v>
      </c>
      <c r="M87" s="7" t="str">
        <f>IF([1]All!$AJ88=0,"",[1]All!$AJ88)</f>
        <v xml:space="preserve">AATY </v>
      </c>
      <c r="N87" s="7" t="str">
        <f>IF([1]All!$R88=0,"",[1]All!$R88)</f>
        <v>4720</v>
      </c>
      <c r="O87" s="7" t="str">
        <f>IF([1]All!$S88=0,"",[1]All!$S88)</f>
        <v>015663879</v>
      </c>
      <c r="P87" s="7" t="str">
        <f>IF([1]All!$V88=0,"",[1]All!$V88)</f>
        <v>0000010375</v>
      </c>
      <c r="Q87" s="3" t="str">
        <f t="shared" si="11"/>
        <v>$103.75</v>
      </c>
      <c r="R87" s="8" t="str">
        <f>IF([1]All!$F88=0,"",[1]All!$F88)</f>
        <v>MIL-001-496</v>
      </c>
    </row>
    <row r="88" spans="1:18">
      <c r="A88" s="7"/>
      <c r="B88" s="3">
        <f t="shared" si="6"/>
        <v>69</v>
      </c>
      <c r="C88" s="3" t="str">
        <f t="shared" si="7"/>
        <v>E</v>
      </c>
      <c r="D88" s="9" t="str">
        <f t="shared" si="8"/>
        <v>MIL-001-511</v>
      </c>
      <c r="E88" s="3" t="str">
        <f t="shared" si="9"/>
        <v>AQ56  MIL-001-511</v>
      </c>
      <c r="F88" s="10" t="str">
        <f t="shared" si="10"/>
        <v>PCCN: CRGARM:-:PLISN: AQ56 :-:PCC: TIT :-: CAGE: 0UJB5:-:PART NUMBER: MIL-001-511:-:NOMENCLATURE: HOSE ASSEMBLY,NONME:-:PRICE: $98.40:-:UNIQUE MODS: NO:-:PROPRIETARILY MFG FOR OEM: NO:-: :-: :-: :-:NSN: 4720015664231 :-: NHA: MIL-001-396 :-: NHA NSN: 3810015663870</v>
      </c>
      <c r="G88" s="8" t="str">
        <f>IF([1]All!$B89="","",[1]All!$B89)</f>
        <v xml:space="preserve">AQ56 </v>
      </c>
      <c r="H88" s="8"/>
      <c r="I88" s="8" t="str">
        <f>IF([1]All!$D89=0,"",[1]All!$D89)</f>
        <v>E</v>
      </c>
      <c r="J88" s="8" t="str">
        <f>IF([1]All!$E89=0,"",[1]All!$E89)</f>
        <v>0UJB5</v>
      </c>
      <c r="K88" s="8" t="s">
        <v>62</v>
      </c>
      <c r="L88" s="11" t="str">
        <f>IF([1]All!$L89=0,"",[1]All!$L89)</f>
        <v>HOSE ASSEMBLY,NONME</v>
      </c>
      <c r="M88" s="7" t="str">
        <f>IF([1]All!$AJ89=0,"",[1]All!$AJ89)</f>
        <v xml:space="preserve">AATY </v>
      </c>
      <c r="N88" s="7" t="str">
        <f>IF([1]All!$R89=0,"",[1]All!$R89)</f>
        <v>4720</v>
      </c>
      <c r="O88" s="7" t="str">
        <f>IF([1]All!$S89=0,"",[1]All!$S89)</f>
        <v>015664231</v>
      </c>
      <c r="P88" s="7" t="str">
        <f>IF([1]All!$V89=0,"",[1]All!$V89)</f>
        <v>0000009840</v>
      </c>
      <c r="Q88" s="3" t="str">
        <f t="shared" si="11"/>
        <v>$98.40</v>
      </c>
      <c r="R88" s="8" t="str">
        <f>IF([1]All!$F89=0,"",[1]All!$F89)</f>
        <v>MIL-001-511</v>
      </c>
    </row>
    <row r="89" spans="1:18">
      <c r="A89" s="7"/>
      <c r="B89" s="3">
        <f t="shared" si="6"/>
        <v>69</v>
      </c>
      <c r="C89" s="3" t="str">
        <f t="shared" si="7"/>
        <v>E</v>
      </c>
      <c r="D89" s="9" t="str">
        <f t="shared" si="8"/>
        <v>MIL-001-500</v>
      </c>
      <c r="E89" s="3" t="str">
        <f t="shared" si="9"/>
        <v>ARB2  MIL-001-500</v>
      </c>
      <c r="F89" s="10" t="str">
        <f t="shared" si="10"/>
        <v>PCCN: CRGARM:-:PLISN: ARB2 :-:PCC: TIT :-: CAGE: 0UJB5:-:PART NUMBER: MIL-001-500:-:NOMENCLATURE: NIPPLE,TUBE:-:PRICE: $17.73:-:UNIQUE MODS: NO:-:PROPRIETARILY MFG FOR OEM: NO:-: :-: :-: :-:NSN: 4730015659169 :-: NHA: MIL-001-396 :-: NHA NSN: 3810015663870</v>
      </c>
      <c r="G89" s="8" t="str">
        <f>IF([1]All!$B90="","",[1]All!$B90)</f>
        <v xml:space="preserve">ARB2 </v>
      </c>
      <c r="H89" s="8"/>
      <c r="I89" s="8" t="str">
        <f>IF([1]All!$D90=0,"",[1]All!$D90)</f>
        <v>E</v>
      </c>
      <c r="J89" s="8" t="str">
        <f>IF([1]All!$E90=0,"",[1]All!$E90)</f>
        <v>0UJB5</v>
      </c>
      <c r="K89" s="8" t="s">
        <v>63</v>
      </c>
      <c r="L89" s="11" t="str">
        <f>IF([1]All!$L90=0,"",[1]All!$L90)</f>
        <v>NIPPLE,TUBE</v>
      </c>
      <c r="M89" s="7" t="str">
        <f>IF([1]All!$AJ90=0,"",[1]All!$AJ90)</f>
        <v xml:space="preserve">AATY </v>
      </c>
      <c r="N89" s="7" t="str">
        <f>IF([1]All!$R90=0,"",[1]All!$R90)</f>
        <v>4730</v>
      </c>
      <c r="O89" s="7" t="str">
        <f>IF([1]All!$S90=0,"",[1]All!$S90)</f>
        <v>015659169</v>
      </c>
      <c r="P89" s="7" t="str">
        <f>IF([1]All!$V90=0,"",[1]All!$V90)</f>
        <v>0000001773</v>
      </c>
      <c r="Q89" s="3" t="str">
        <f t="shared" si="11"/>
        <v>$17.73</v>
      </c>
      <c r="R89" s="8" t="str">
        <f>IF([1]All!$F90=0,"",[1]All!$F90)</f>
        <v>MIL-001-500</v>
      </c>
    </row>
    <row r="90" spans="1:18">
      <c r="A90" s="7"/>
      <c r="B90" s="3">
        <f t="shared" si="6"/>
        <v>69</v>
      </c>
      <c r="C90" s="3" t="str">
        <f t="shared" si="7"/>
        <v>E</v>
      </c>
      <c r="D90" s="9" t="str">
        <f t="shared" si="8"/>
        <v>MIL-001-507</v>
      </c>
      <c r="E90" s="3" t="str">
        <f t="shared" si="9"/>
        <v>ARHY  MIL-001-507</v>
      </c>
      <c r="F90" s="10" t="str">
        <f t="shared" si="10"/>
        <v>PCCN: CRGARM:-:PLISN: ARHY :-:PCC: TIT :-: CAGE: 0UJB5:-:PART NUMBER: MIL-001-507:-:NOMENCLATURE: HOSE ASSEMBLY,NONME:-:PRICE: $189.92:-:UNIQUE MODS: NO:-:PROPRIETARILY MFG FOR OEM: NO:-: :-: :-: :-:NSN: 4720015667956 :-: NHA: MIL-001-396 :-: NHA NSN: 3810015663870</v>
      </c>
      <c r="G90" s="8" t="str">
        <f>IF([1]All!$B91="","",[1]All!$B91)</f>
        <v xml:space="preserve">ARHY </v>
      </c>
      <c r="H90" s="8"/>
      <c r="I90" s="8" t="str">
        <f>IF([1]All!$D91=0,"",[1]All!$D91)</f>
        <v>E</v>
      </c>
      <c r="J90" s="8" t="str">
        <f>IF([1]All!$E91=0,"",[1]All!$E91)</f>
        <v>0UJB5</v>
      </c>
      <c r="K90" s="8" t="s">
        <v>64</v>
      </c>
      <c r="L90" s="11" t="str">
        <f>IF([1]All!$L91=0,"",[1]All!$L91)</f>
        <v>HOSE ASSEMBLY,NONME</v>
      </c>
      <c r="M90" s="7" t="str">
        <f>IF([1]All!$AJ91=0,"",[1]All!$AJ91)</f>
        <v xml:space="preserve">AATY </v>
      </c>
      <c r="N90" s="7" t="str">
        <f>IF([1]All!$R91=0,"",[1]All!$R91)</f>
        <v>4720</v>
      </c>
      <c r="O90" s="7" t="str">
        <f>IF([1]All!$S91=0,"",[1]All!$S91)</f>
        <v>015667956</v>
      </c>
      <c r="P90" s="7" t="str">
        <f>IF([1]All!$V91=0,"",[1]All!$V91)</f>
        <v>0000018992</v>
      </c>
      <c r="Q90" s="3" t="str">
        <f t="shared" si="11"/>
        <v>$189.92</v>
      </c>
      <c r="R90" s="8" t="str">
        <f>IF([1]All!$F91=0,"",[1]All!$F91)</f>
        <v>MIL-001-507</v>
      </c>
    </row>
    <row r="91" spans="1:18">
      <c r="A91" s="7"/>
      <c r="B91" s="3">
        <f t="shared" si="6"/>
        <v>69</v>
      </c>
      <c r="C91" s="3" t="str">
        <f t="shared" si="7"/>
        <v>E</v>
      </c>
      <c r="D91" s="9" t="str">
        <f t="shared" si="8"/>
        <v>MIL-001-555</v>
      </c>
      <c r="E91" s="3" t="str">
        <f t="shared" si="9"/>
        <v>ARPU  MIL-001-555</v>
      </c>
      <c r="F91" s="10" t="str">
        <f t="shared" si="10"/>
        <v>PCCN: CRGARM:-:PLISN: ARPU :-:PCC: TIT :-: CAGE: 0UJB5:-:PART NUMBER: MIL-001-555:-:NOMENCLATURE: BRACKET,MOUNTING:-:PRICE: $508.03:-:UNIQUE MODS: NO:-:PROPRIETARILY MFG FOR OEM: NO:-: :-: :-: :-:NSN: 5340015659367 :-: NHA: MIL-001-396 :-: NHA NSN: 3810015663870</v>
      </c>
      <c r="G91" s="8" t="str">
        <f>IF([1]All!$B92="","",[1]All!$B92)</f>
        <v xml:space="preserve">ARPU </v>
      </c>
      <c r="H91" s="8"/>
      <c r="I91" s="8" t="str">
        <f>IF([1]All!$D92=0,"",[1]All!$D92)</f>
        <v>E</v>
      </c>
      <c r="J91" s="8" t="str">
        <f>IF([1]All!$E92=0,"",[1]All!$E92)</f>
        <v>0UJB5</v>
      </c>
      <c r="K91" s="8" t="s">
        <v>65</v>
      </c>
      <c r="L91" s="11" t="str">
        <f>IF([1]All!$L92=0,"",[1]All!$L92)</f>
        <v>BRACKET,MOUNTING</v>
      </c>
      <c r="M91" s="7" t="str">
        <f>IF([1]All!$AJ92=0,"",[1]All!$AJ92)</f>
        <v xml:space="preserve">AATY </v>
      </c>
      <c r="N91" s="7" t="str">
        <f>IF([1]All!$R92=0,"",[1]All!$R92)</f>
        <v>5340</v>
      </c>
      <c r="O91" s="7" t="str">
        <f>IF([1]All!$S92=0,"",[1]All!$S92)</f>
        <v>015659367</v>
      </c>
      <c r="P91" s="7" t="str">
        <f>IF([1]All!$V92=0,"",[1]All!$V92)</f>
        <v>0000050803</v>
      </c>
      <c r="Q91" s="3" t="str">
        <f t="shared" si="11"/>
        <v>$508.03</v>
      </c>
      <c r="R91" s="8" t="str">
        <f>IF([1]All!$F92=0,"",[1]All!$F92)</f>
        <v>MIL-001-555</v>
      </c>
    </row>
    <row r="92" spans="1:18">
      <c r="A92" s="7"/>
      <c r="B92" s="3">
        <f t="shared" si="6"/>
        <v>70</v>
      </c>
      <c r="C92" s="3" t="str">
        <f t="shared" si="7"/>
        <v>F</v>
      </c>
      <c r="D92" s="9" t="str">
        <f t="shared" si="8"/>
        <v>MIL-001-503</v>
      </c>
      <c r="E92" s="3" t="str">
        <f t="shared" si="9"/>
        <v>ARVQ  MIL-001-503</v>
      </c>
      <c r="F92" s="10" t="str">
        <f t="shared" si="10"/>
        <v>PCCN: CRGARM:-:PLISN: ARVQ :-:PCC: TIT :-: CAGE: 0UJB5:-:PART NUMBER: MIL-001-503:-:NOMENCLATURE: BRACKET,DOUBLE ANGL:-:PRICE: $149.65:-:UNIQUE MODS: NO:-:PROPRIETARILY MFG FOR OEM: NO:-: :-: :-: :-:NSN: 5340015659392 :-: NHA: MIL-001-555 :-: NHA NSN: 5340015659367</v>
      </c>
      <c r="G92" s="8" t="str">
        <f>IF([1]All!$B93="","",[1]All!$B93)</f>
        <v xml:space="preserve">ARVQ </v>
      </c>
      <c r="H92" s="8"/>
      <c r="I92" s="8" t="str">
        <f>IF([1]All!$D93=0,"",[1]All!$D93)</f>
        <v>F</v>
      </c>
      <c r="J92" s="8" t="str">
        <f>IF([1]All!$E93=0,"",[1]All!$E93)</f>
        <v>0UJB5</v>
      </c>
      <c r="K92" s="8" t="s">
        <v>66</v>
      </c>
      <c r="L92" s="11" t="str">
        <f>IF([1]All!$L93=0,"",[1]All!$L93)</f>
        <v>BRACKET,DOUBLE ANGL</v>
      </c>
      <c r="M92" s="7" t="str">
        <f>IF([1]All!$AJ93=0,"",[1]All!$AJ93)</f>
        <v xml:space="preserve">ARPU </v>
      </c>
      <c r="N92" s="7" t="str">
        <f>IF([1]All!$R93=0,"",[1]All!$R93)</f>
        <v>5340</v>
      </c>
      <c r="O92" s="7" t="str">
        <f>IF([1]All!$S93=0,"",[1]All!$S93)</f>
        <v>015659392</v>
      </c>
      <c r="P92" s="7" t="str">
        <f>IF([1]All!$V93=0,"",[1]All!$V93)</f>
        <v>0000014965</v>
      </c>
      <c r="Q92" s="3" t="str">
        <f t="shared" si="11"/>
        <v>$149.65</v>
      </c>
      <c r="R92" s="8" t="str">
        <f>IF([1]All!$F93=0,"",[1]All!$F93)</f>
        <v>MIL-001-503</v>
      </c>
    </row>
    <row r="93" spans="1:18">
      <c r="A93" s="7"/>
      <c r="B93" s="3">
        <f t="shared" si="6"/>
        <v>70</v>
      </c>
      <c r="C93" s="3" t="str">
        <f t="shared" si="7"/>
        <v>F</v>
      </c>
      <c r="D93" s="9" t="str">
        <f t="shared" si="8"/>
        <v>MIL-001-558</v>
      </c>
      <c r="E93" s="3" t="str">
        <f t="shared" si="9"/>
        <v>AR1L  MIL-001-558</v>
      </c>
      <c r="F93" s="10" t="str">
        <f t="shared" si="10"/>
        <v>PCCN: CRGARM:-:PLISN: AR1L :-:PCC: TIT :-: CAGE: 0UJB5:-:PART NUMBER: MIL-001-558:-:NOMENCLATURE: WASHER,FLAT:-:PRICE: $9.36:-:UNIQUE MODS: NO:-:PROPRIETARILY MFG FOR OEM: NO:-: :-: :-: :-:NSN: 5310015661475 :-: NHA: MIL-001-555 :-: NHA NSN: 5340015659367</v>
      </c>
      <c r="G93" s="8" t="str">
        <f>IF([1]All!$B94="","",[1]All!$B94)</f>
        <v xml:space="preserve">AR1L </v>
      </c>
      <c r="H93" s="8"/>
      <c r="I93" s="8" t="str">
        <f>IF([1]All!$D94=0,"",[1]All!$D94)</f>
        <v>F</v>
      </c>
      <c r="J93" s="8" t="str">
        <f>IF([1]All!$E94=0,"",[1]All!$E94)</f>
        <v>0UJB5</v>
      </c>
      <c r="K93" s="8" t="s">
        <v>67</v>
      </c>
      <c r="L93" s="11" t="str">
        <f>IF([1]All!$L94=0,"",[1]All!$L94)</f>
        <v>WASHER,FLAT</v>
      </c>
      <c r="M93" s="7" t="str">
        <f>IF([1]All!$AJ94=0,"",[1]All!$AJ94)</f>
        <v xml:space="preserve">ARPU </v>
      </c>
      <c r="N93" s="7" t="str">
        <f>IF([1]All!$R94=0,"",[1]All!$R94)</f>
        <v>5310</v>
      </c>
      <c r="O93" s="7" t="str">
        <f>IF([1]All!$S94=0,"",[1]All!$S94)</f>
        <v>015661475</v>
      </c>
      <c r="P93" s="7" t="str">
        <f>IF([1]All!$V94=0,"",[1]All!$V94)</f>
        <v>0000000936</v>
      </c>
      <c r="Q93" s="3" t="str">
        <f t="shared" si="11"/>
        <v>$9.36</v>
      </c>
      <c r="R93" s="8" t="str">
        <f>IF([1]All!$F94=0,"",[1]All!$F94)</f>
        <v>MIL-001-558</v>
      </c>
    </row>
    <row r="94" spans="1:18">
      <c r="A94" s="7"/>
      <c r="B94" s="3">
        <f t="shared" si="6"/>
        <v>70</v>
      </c>
      <c r="C94" s="3" t="str">
        <f t="shared" si="7"/>
        <v>F</v>
      </c>
      <c r="D94" s="9" t="str">
        <f t="shared" si="8"/>
        <v>MIL-001-560</v>
      </c>
      <c r="E94" s="3" t="str">
        <f t="shared" si="9"/>
        <v>AR7G  MIL-001-560</v>
      </c>
      <c r="F94" s="10" t="str">
        <f t="shared" si="10"/>
        <v>PCCN: CRGARM:-:PLISN: AR7G :-:PCC: TIT :-: CAGE: 0UJB5:-:PART NUMBER: MIL-001-560:-:NOMENCLATURE: SCREW,CAP,HEXAGON H:-:PRICE: $3.43:-:UNIQUE MODS: NO:-:PROPRIETARILY MFG FOR OEM: NO:-: :-: :-: :-:NSN: 5305015657982 :-: NHA: MIL-001-555 :-: NHA NSN: 5340015659367</v>
      </c>
      <c r="G94" s="8" t="str">
        <f>IF([1]All!$B95="","",[1]All!$B95)</f>
        <v xml:space="preserve">AR7G </v>
      </c>
      <c r="H94" s="8"/>
      <c r="I94" s="8" t="str">
        <f>IF([1]All!$D95=0,"",[1]All!$D95)</f>
        <v>F</v>
      </c>
      <c r="J94" s="8" t="str">
        <f>IF([1]All!$E95=0,"",[1]All!$E95)</f>
        <v>0UJB5</v>
      </c>
      <c r="K94" s="8" t="s">
        <v>68</v>
      </c>
      <c r="L94" s="11" t="str">
        <f>IF([1]All!$L95=0,"",[1]All!$L95)</f>
        <v>SCREW,CAP,HEXAGON H</v>
      </c>
      <c r="M94" s="7" t="str">
        <f>IF([1]All!$AJ95=0,"",[1]All!$AJ95)</f>
        <v xml:space="preserve">ARPU </v>
      </c>
      <c r="N94" s="7" t="str">
        <f>IF([1]All!$R95=0,"",[1]All!$R95)</f>
        <v>5305</v>
      </c>
      <c r="O94" s="7" t="str">
        <f>IF([1]All!$S95=0,"",[1]All!$S95)</f>
        <v>015657982</v>
      </c>
      <c r="P94" s="7" t="str">
        <f>IF([1]All!$V95=0,"",[1]All!$V95)</f>
        <v>0000000343</v>
      </c>
      <c r="Q94" s="3" t="str">
        <f t="shared" si="11"/>
        <v>$3.43</v>
      </c>
      <c r="R94" s="8" t="str">
        <f>IF([1]All!$F95=0,"",[1]All!$F95)</f>
        <v>MIL-001-560</v>
      </c>
    </row>
    <row r="95" spans="1:18">
      <c r="A95" s="7"/>
      <c r="B95" s="3">
        <f t="shared" si="6"/>
        <v>70</v>
      </c>
      <c r="C95" s="3" t="str">
        <f t="shared" si="7"/>
        <v>F</v>
      </c>
      <c r="D95" s="9" t="str">
        <f t="shared" si="8"/>
        <v>90576A115</v>
      </c>
      <c r="E95" s="3" t="str">
        <f t="shared" si="9"/>
        <v>ASDC  90576A115</v>
      </c>
      <c r="F95" s="10" t="str">
        <f t="shared" si="10"/>
        <v>PCCN: CRGARM:-:PLISN: ASDC :-:PCC: TIT :-: CAGE: 39428:-:PART NUMBER: 90576A115:-:NOMENCLATURE: NUT,SELF-LOCKING,HE:-:PRICE: $0.09:-:UNIQUE MODS: NO:-:PROPRIETARILY MFG FOR OEM: NO:-: :-: :-: :-:NSN: 5310014147135 :-: NHA: MIL-001-555 :-: NHA NSN: 5340015659367</v>
      </c>
      <c r="G95" s="8" t="str">
        <f>IF([1]All!$B96="","",[1]All!$B96)</f>
        <v xml:space="preserve">ASDC </v>
      </c>
      <c r="H95" s="8"/>
      <c r="I95" s="8" t="str">
        <f>IF([1]All!$D96=0,"",[1]All!$D96)</f>
        <v>F</v>
      </c>
      <c r="J95" s="8" t="str">
        <f>IF([1]All!$E96=0,"",[1]All!$E96)</f>
        <v>39428</v>
      </c>
      <c r="K95" s="8" t="s">
        <v>27</v>
      </c>
      <c r="L95" s="11" t="str">
        <f>IF([1]All!$L96=0,"",[1]All!$L96)</f>
        <v>NUT,SELF-LOCKING,HE</v>
      </c>
      <c r="M95" s="7" t="str">
        <f>IF([1]All!$AJ96=0,"",[1]All!$AJ96)</f>
        <v xml:space="preserve">ARPU </v>
      </c>
      <c r="N95" s="7" t="str">
        <f>IF([1]All!$R96=0,"",[1]All!$R96)</f>
        <v>5310</v>
      </c>
      <c r="O95" s="7" t="str">
        <f>IF([1]All!$S96=0,"",[1]All!$S96)</f>
        <v>014147135</v>
      </c>
      <c r="P95" s="7" t="str">
        <f>IF([1]All!$V96=0,"",[1]All!$V96)</f>
        <v>0000000009</v>
      </c>
      <c r="Q95" s="3" t="str">
        <f t="shared" si="11"/>
        <v>$0.09</v>
      </c>
      <c r="R95" s="8" t="str">
        <f>IF([1]All!$F96=0,"",[1]All!$F96)</f>
        <v>90576A115</v>
      </c>
    </row>
    <row r="96" spans="1:18">
      <c r="A96" s="7"/>
      <c r="B96" s="3">
        <f t="shared" si="6"/>
        <v>70</v>
      </c>
      <c r="C96" s="3" t="str">
        <f t="shared" si="7"/>
        <v>F</v>
      </c>
      <c r="D96" s="9" t="str">
        <f t="shared" si="8"/>
        <v>MIL-001-562</v>
      </c>
      <c r="E96" s="3" t="str">
        <f t="shared" si="9"/>
        <v>ASJ8  MIL-001-562</v>
      </c>
      <c r="F96" s="10" t="str">
        <f t="shared" si="10"/>
        <v>PCCN: CRGARM:-:PLISN: ASJ8 :-:PCC: TIT :-: CAGE: 0UJB5:-:PART NUMBER: MIL-001-562:-:NOMENCLATURE: BRACKET,MOUNTING:-:PRICE: $33.63:-:UNIQUE MODS: NO:-:PROPRIETARILY MFG FOR OEM: NO:-: :-: :-: :-: :-: NHA: MIL-001-555 :-: NHA NSN: 5340015659367</v>
      </c>
      <c r="G96" s="8" t="str">
        <f>IF([1]All!$B97="","",[1]All!$B97)</f>
        <v xml:space="preserve">ASJ8 </v>
      </c>
      <c r="H96" s="8"/>
      <c r="I96" s="8" t="str">
        <f>IF([1]All!$D97=0,"",[1]All!$D97)</f>
        <v>F</v>
      </c>
      <c r="J96" s="8" t="str">
        <f>IF([1]All!$E97=0,"",[1]All!$E97)</f>
        <v>0UJB5</v>
      </c>
      <c r="K96" s="8" t="s">
        <v>69</v>
      </c>
      <c r="L96" s="11" t="str">
        <f>IF([1]All!$L97=0,"",[1]All!$L97)</f>
        <v>BRACKET,MOUNTING</v>
      </c>
      <c r="M96" s="7" t="str">
        <f>IF([1]All!$AJ97=0,"",[1]All!$AJ97)</f>
        <v xml:space="preserve">ARPU </v>
      </c>
      <c r="N96" s="7" t="str">
        <f>IF([1]All!$R97=0,"",[1]All!$R97)</f>
        <v/>
      </c>
      <c r="O96" s="7" t="str">
        <f>IF([1]All!$S97=0,"",[1]All!$S97)</f>
        <v/>
      </c>
      <c r="P96" s="7" t="str">
        <f>IF([1]All!$V97=0,"",[1]All!$V97)</f>
        <v>0000003363</v>
      </c>
      <c r="Q96" s="3" t="str">
        <f t="shared" si="11"/>
        <v>$33.63</v>
      </c>
      <c r="R96" s="8" t="str">
        <f>IF([1]All!$F97=0,"",[1]All!$F97)</f>
        <v>MIL-001-562</v>
      </c>
    </row>
    <row r="97" spans="1:18">
      <c r="A97" s="7"/>
      <c r="B97" s="3">
        <f t="shared" si="6"/>
        <v>70</v>
      </c>
      <c r="C97" s="3" t="str">
        <f t="shared" si="7"/>
        <v>F</v>
      </c>
      <c r="D97" s="9" t="str">
        <f t="shared" si="8"/>
        <v>0153974</v>
      </c>
      <c r="E97" s="3" t="str">
        <f t="shared" si="9"/>
        <v>ASQ4  0153974</v>
      </c>
      <c r="F97" s="10" t="str">
        <f t="shared" si="10"/>
        <v>PCCN: CRGARM:-:PLISN: ASQ4 :-:PCC: TIT :-: CAGE: 0Y3H3:-:PART NUMBER: 0153974:-:NOMENCLATURE: SCREW,CAP,HEXAGON H:-:PRICE: $0.13:-:UNIQUE MODS: NO:-:PROPRIETARILY MFG FOR OEM: NO:-: :-: :-: :-:NSN: 5305015502085 :-: NHA: MIL-001-555 :-: NHA NSN: 5340015659367</v>
      </c>
      <c r="G97" s="8" t="str">
        <f>IF([1]All!$B98="","",[1]All!$B98)</f>
        <v xml:space="preserve">ASQ4 </v>
      </c>
      <c r="H97" s="8"/>
      <c r="I97" s="8" t="str">
        <f>IF([1]All!$D98=0,"",[1]All!$D98)</f>
        <v>F</v>
      </c>
      <c r="J97" s="8" t="str">
        <f>IF([1]All!$E98=0,"",[1]All!$E98)</f>
        <v>0Y3H3</v>
      </c>
      <c r="K97" s="8" t="s">
        <v>70</v>
      </c>
      <c r="L97" s="11" t="str">
        <f>IF([1]All!$L98=0,"",[1]All!$L98)</f>
        <v>SCREW,CAP,HEXAGON H</v>
      </c>
      <c r="M97" s="7" t="str">
        <f>IF([1]All!$AJ98=0,"",[1]All!$AJ98)</f>
        <v xml:space="preserve">ARPU </v>
      </c>
      <c r="N97" s="7" t="str">
        <f>IF([1]All!$R98=0,"",[1]All!$R98)</f>
        <v>5305</v>
      </c>
      <c r="O97" s="7" t="str">
        <f>IF([1]All!$S98=0,"",[1]All!$S98)</f>
        <v>015502085</v>
      </c>
      <c r="P97" s="7" t="str">
        <f>IF([1]All!$V98=0,"",[1]All!$V98)</f>
        <v>0000000013</v>
      </c>
      <c r="Q97" s="3" t="str">
        <f t="shared" si="11"/>
        <v>$0.13</v>
      </c>
      <c r="R97" s="8" t="str">
        <f>IF([1]All!$F98=0,"",[1]All!$F98)</f>
        <v>0153974</v>
      </c>
    </row>
    <row r="98" spans="1:18">
      <c r="A98" s="7"/>
      <c r="B98" s="3">
        <f t="shared" si="6"/>
        <v>70</v>
      </c>
      <c r="C98" s="3" t="str">
        <f t="shared" si="7"/>
        <v>F</v>
      </c>
      <c r="D98" s="9" t="str">
        <f t="shared" si="8"/>
        <v>93501A030</v>
      </c>
      <c r="E98" s="3" t="str">
        <f t="shared" si="9"/>
        <v>ASW0  93501A030</v>
      </c>
      <c r="F98" s="10" t="str">
        <f t="shared" si="10"/>
        <v>PCCN: CRGARM:-:PLISN: ASW0 :-:PCC: TIT :-: CAGE: 39428:-:PART NUMBER: 93501A030:-:NOMENCLATURE: WASHER,SPRING TENSI:-:PRICE: $0.14:-:UNIQUE MODS: NO:-:PROPRIETARILY MFG FOR OEM: NO:-: :-: :-: :-:NSN: 5310015673996 :-: NHA: MIL-001-555 :-: NHA NSN: 5340015659367</v>
      </c>
      <c r="G98" s="8" t="str">
        <f>IF([1]All!$B99="","",[1]All!$B99)</f>
        <v xml:space="preserve">ASW0 </v>
      </c>
      <c r="H98" s="8"/>
      <c r="I98" s="8" t="str">
        <f>IF([1]All!$D99=0,"",[1]All!$D99)</f>
        <v>F</v>
      </c>
      <c r="J98" s="8" t="str">
        <f>IF([1]All!$E99=0,"",[1]All!$E99)</f>
        <v>39428</v>
      </c>
      <c r="K98" s="8" t="s">
        <v>71</v>
      </c>
      <c r="L98" s="11" t="str">
        <f>IF([1]All!$L99=0,"",[1]All!$L99)</f>
        <v>WASHER,SPRING TENSI</v>
      </c>
      <c r="M98" s="7" t="str">
        <f>IF([1]All!$AJ99=0,"",[1]All!$AJ99)</f>
        <v xml:space="preserve">ARPU </v>
      </c>
      <c r="N98" s="7" t="str">
        <f>IF([1]All!$R99=0,"",[1]All!$R99)</f>
        <v>5310</v>
      </c>
      <c r="O98" s="7" t="str">
        <f>IF([1]All!$S99=0,"",[1]All!$S99)</f>
        <v>015673996</v>
      </c>
      <c r="P98" s="7" t="str">
        <f>IF([1]All!$V99=0,"",[1]All!$V99)</f>
        <v>0000000014</v>
      </c>
      <c r="Q98" s="3" t="str">
        <f t="shared" si="11"/>
        <v>$0.14</v>
      </c>
      <c r="R98" s="8" t="str">
        <f>IF([1]All!$F99=0,"",[1]All!$F99)</f>
        <v>93501A030</v>
      </c>
    </row>
    <row r="99" spans="1:18">
      <c r="A99" s="7"/>
      <c r="B99" s="3">
        <f t="shared" si="6"/>
        <v>70</v>
      </c>
      <c r="C99" s="3" t="str">
        <f t="shared" si="7"/>
        <v>F</v>
      </c>
      <c r="D99" s="9" t="str">
        <f t="shared" si="8"/>
        <v>MIL-001-565</v>
      </c>
      <c r="E99" s="3" t="str">
        <f t="shared" si="9"/>
        <v>AS2W  MIL-001-565</v>
      </c>
      <c r="F99" s="10" t="str">
        <f t="shared" si="10"/>
        <v>PCCN: CRGARM:-:PLISN: AS2W :-:PCC: TIT :-: CAGE: 0UJB5:-:PART NUMBER: MIL-001-565:-:NOMENCLATURE: PLATE,MOUNTING:-:PRICE: $14.95:-:UNIQUE MODS: NO:-:PROPRIETARILY MFG FOR OEM: NO:-: :-: :-: :-:NSN: 5340015659351 :-: NHA: MIL-001-555 :-: NHA NSN: 5340015659367</v>
      </c>
      <c r="G99" s="8" t="str">
        <f>IF([1]All!$B100="","",[1]All!$B100)</f>
        <v xml:space="preserve">AS2W </v>
      </c>
      <c r="H99" s="8"/>
      <c r="I99" s="8" t="str">
        <f>IF([1]All!$D100=0,"",[1]All!$D100)</f>
        <v>F</v>
      </c>
      <c r="J99" s="8" t="str">
        <f>IF([1]All!$E100=0,"",[1]All!$E100)</f>
        <v>0UJB5</v>
      </c>
      <c r="K99" s="8" t="s">
        <v>72</v>
      </c>
      <c r="L99" s="11" t="str">
        <f>IF([1]All!$L100=0,"",[1]All!$L100)</f>
        <v>PLATE,MOUNTING</v>
      </c>
      <c r="M99" s="7" t="str">
        <f>IF([1]All!$AJ100=0,"",[1]All!$AJ100)</f>
        <v xml:space="preserve">ARPU </v>
      </c>
      <c r="N99" s="7" t="str">
        <f>IF([1]All!$R100=0,"",[1]All!$R100)</f>
        <v>5340</v>
      </c>
      <c r="O99" s="7" t="str">
        <f>IF([1]All!$S100=0,"",[1]All!$S100)</f>
        <v>015659351</v>
      </c>
      <c r="P99" s="7" t="str">
        <f>IF([1]All!$V100=0,"",[1]All!$V100)</f>
        <v>0000001495</v>
      </c>
      <c r="Q99" s="3" t="str">
        <f t="shared" si="11"/>
        <v>$14.95</v>
      </c>
      <c r="R99" s="8" t="str">
        <f>IF([1]All!$F100=0,"",[1]All!$F100)</f>
        <v>MIL-001-565</v>
      </c>
    </row>
    <row r="100" spans="1:18">
      <c r="A100" s="7"/>
      <c r="B100" s="3">
        <f t="shared" si="6"/>
        <v>70</v>
      </c>
      <c r="C100" s="3" t="str">
        <f t="shared" si="7"/>
        <v>F</v>
      </c>
      <c r="D100" s="9" t="str">
        <f t="shared" si="8"/>
        <v>0153975</v>
      </c>
      <c r="E100" s="3" t="str">
        <f t="shared" si="9"/>
        <v>AS8S  0153975</v>
      </c>
      <c r="F100" s="10" t="str">
        <f t="shared" si="10"/>
        <v>PCCN: CRGARM:-:PLISN: AS8S :-:PCC: TIT :-: CAGE: 0Y3H3:-:PART NUMBER: 0153975:-:NOMENCLATURE: SCREW,CAP,HEXAGON H:-:PRICE: $0.13:-:UNIQUE MODS: NO:-:PROPRIETARILY MFG FOR OEM: NO:-: :-: :-: :-:NSN: 5305015570547 :-: NHA: MIL-001-555 :-: NHA NSN: 5340015659367</v>
      </c>
      <c r="G100" s="8" t="str">
        <f>IF([1]All!$B101="","",[1]All!$B101)</f>
        <v xml:space="preserve">AS8S </v>
      </c>
      <c r="H100" s="8"/>
      <c r="I100" s="8" t="str">
        <f>IF([1]All!$D101=0,"",[1]All!$D101)</f>
        <v>F</v>
      </c>
      <c r="J100" s="8" t="str">
        <f>IF([1]All!$E101=0,"",[1]All!$E101)</f>
        <v>0Y3H3</v>
      </c>
      <c r="K100" s="8" t="s">
        <v>73</v>
      </c>
      <c r="L100" s="11" t="str">
        <f>IF([1]All!$L101=0,"",[1]All!$L101)</f>
        <v>SCREW,CAP,HEXAGON H</v>
      </c>
      <c r="M100" s="7" t="str">
        <f>IF([1]All!$AJ101=0,"",[1]All!$AJ101)</f>
        <v xml:space="preserve">ARPU </v>
      </c>
      <c r="N100" s="7" t="str">
        <f>IF([1]All!$R101=0,"",[1]All!$R101)</f>
        <v>5305</v>
      </c>
      <c r="O100" s="7" t="str">
        <f>IF([1]All!$S101=0,"",[1]All!$S101)</f>
        <v>015570547</v>
      </c>
      <c r="P100" s="7" t="str">
        <f>IF([1]All!$V101=0,"",[1]All!$V101)</f>
        <v>0000000013</v>
      </c>
      <c r="Q100" s="3" t="str">
        <f t="shared" si="11"/>
        <v>$0.13</v>
      </c>
      <c r="R100" s="8" t="str">
        <f>IF([1]All!$F101=0,"",[1]All!$F101)</f>
        <v>0153975</v>
      </c>
    </row>
    <row r="101" spans="1:18">
      <c r="A101" s="7"/>
      <c r="B101" s="3">
        <f t="shared" si="6"/>
        <v>70</v>
      </c>
      <c r="C101" s="3" t="str">
        <f t="shared" si="7"/>
        <v>F</v>
      </c>
      <c r="D101" s="9" t="str">
        <f t="shared" si="8"/>
        <v>MIL-001-566</v>
      </c>
      <c r="E101" s="3" t="str">
        <f t="shared" si="9"/>
        <v>ATEN  MIL-001-566</v>
      </c>
      <c r="F101" s="10" t="str">
        <f t="shared" si="10"/>
        <v>PCCN: CRGARM:-:PLISN: ATEN :-:PCC: TIT :-: CAGE: 0UJB5:-:PART NUMBER: MIL-001-566:-:NOMENCLATURE: BRACKET,ANGLE:-:PRICE: $16.51:-:UNIQUE MODS: NO:-:PROPRIETARILY MFG FOR OEM: NO:-: :-: :-: :-:NSN: 5340015658907 :-: NHA: MIL-001-555 :-: NHA NSN: 5340015659367</v>
      </c>
      <c r="G101" s="8" t="str">
        <f>IF([1]All!$B102="","",[1]All!$B102)</f>
        <v xml:space="preserve">ATEN </v>
      </c>
      <c r="H101" s="8"/>
      <c r="I101" s="8" t="str">
        <f>IF([1]All!$D102=0,"",[1]All!$D102)</f>
        <v>F</v>
      </c>
      <c r="J101" s="8" t="str">
        <f>IF([1]All!$E102=0,"",[1]All!$E102)</f>
        <v>0UJB5</v>
      </c>
      <c r="K101" s="8" t="s">
        <v>74</v>
      </c>
      <c r="L101" s="11" t="str">
        <f>IF([1]All!$L102=0,"",[1]All!$L102)</f>
        <v>BRACKET,ANGLE</v>
      </c>
      <c r="M101" s="7" t="str">
        <f>IF([1]All!$AJ102=0,"",[1]All!$AJ102)</f>
        <v xml:space="preserve">ARPU </v>
      </c>
      <c r="N101" s="7" t="str">
        <f>IF([1]All!$R102=0,"",[1]All!$R102)</f>
        <v>5340</v>
      </c>
      <c r="O101" s="7" t="str">
        <f>IF([1]All!$S102=0,"",[1]All!$S102)</f>
        <v>015658907</v>
      </c>
      <c r="P101" s="7" t="str">
        <f>IF([1]All!$V102=0,"",[1]All!$V102)</f>
        <v>0000001651</v>
      </c>
      <c r="Q101" s="3" t="str">
        <f t="shared" si="11"/>
        <v>$16.51</v>
      </c>
      <c r="R101" s="8" t="str">
        <f>IF([1]All!$F102=0,"",[1]All!$F102)</f>
        <v>MIL-001-566</v>
      </c>
    </row>
    <row r="102" spans="1:18">
      <c r="A102" s="7"/>
      <c r="B102" s="3">
        <f t="shared" si="6"/>
        <v>70</v>
      </c>
      <c r="C102" s="3" t="str">
        <f t="shared" si="7"/>
        <v>F</v>
      </c>
      <c r="D102" s="9" t="str">
        <f t="shared" si="8"/>
        <v>MIL-001-567</v>
      </c>
      <c r="E102" s="3" t="str">
        <f t="shared" si="9"/>
        <v>ATLJ  MIL-001-567</v>
      </c>
      <c r="F102" s="10" t="str">
        <f t="shared" si="10"/>
        <v>PCCN: CRGARM:-:PLISN: ATLJ :-:PCC: TIT :-: CAGE: 0UJB5:-:PART NUMBER: MIL-001-567:-:NOMENCLATURE: BRACKET,MOUNTING:-:PRICE: $253.53:-:UNIQUE MODS: NO:-:PROPRIETARILY MFG FOR OEM: NO:-: :-: :-: :-:NSN: 5340015659319 :-: NHA: MIL-001-555 :-: NHA NSN: 5340015659367</v>
      </c>
      <c r="G102" s="8" t="str">
        <f>IF([1]All!$B103="","",[1]All!$B103)</f>
        <v xml:space="preserve">ATLJ </v>
      </c>
      <c r="H102" s="8"/>
      <c r="I102" s="8" t="str">
        <f>IF([1]All!$D103=0,"",[1]All!$D103)</f>
        <v>F</v>
      </c>
      <c r="J102" s="8" t="str">
        <f>IF([1]All!$E103=0,"",[1]All!$E103)</f>
        <v>0UJB5</v>
      </c>
      <c r="K102" s="8" t="s">
        <v>75</v>
      </c>
      <c r="L102" s="11" t="str">
        <f>IF([1]All!$L103=0,"",[1]All!$L103)</f>
        <v>BRACKET,MOUNTING</v>
      </c>
      <c r="M102" s="7" t="str">
        <f>IF([1]All!$AJ103=0,"",[1]All!$AJ103)</f>
        <v xml:space="preserve">ARPU </v>
      </c>
      <c r="N102" s="7" t="str">
        <f>IF([1]All!$R103=0,"",[1]All!$R103)</f>
        <v>5340</v>
      </c>
      <c r="O102" s="7" t="str">
        <f>IF([1]All!$S103=0,"",[1]All!$S103)</f>
        <v>015659319</v>
      </c>
      <c r="P102" s="7" t="str">
        <f>IF([1]All!$V103=0,"",[1]All!$V103)</f>
        <v>0000025353</v>
      </c>
      <c r="Q102" s="3" t="str">
        <f t="shared" si="11"/>
        <v>$253.53</v>
      </c>
      <c r="R102" s="8" t="str">
        <f>IF([1]All!$F103=0,"",[1]All!$F103)</f>
        <v>MIL-001-567</v>
      </c>
    </row>
    <row r="103" spans="1:18">
      <c r="A103" s="7"/>
      <c r="B103" s="3">
        <f t="shared" si="6"/>
        <v>70</v>
      </c>
      <c r="C103" s="3" t="str">
        <f t="shared" si="7"/>
        <v>F</v>
      </c>
      <c r="D103" s="9" t="str">
        <f t="shared" si="8"/>
        <v>38617</v>
      </c>
      <c r="E103" s="3" t="str">
        <f t="shared" si="9"/>
        <v>ATMN  38617</v>
      </c>
      <c r="F103" s="10" t="str">
        <f t="shared" si="10"/>
        <v>PCCN: CRGARM:-:PLISN: ATMN :-:PCC: TIT :-: CAGE: 43UT5:-:PART NUMBER: 38617:-:NOMENCLATURE: SCREW, CAP, HEXAGON:-:PRICE: $0.44:-:UNIQUE MODS: NO:-:PROPRIETARILY MFG FOR OEM: NO:-: :-: :-: :-:NSN: 5305016205815 :-: NHA: MIL-001-555 :-: NHA NSN: 5340015659367</v>
      </c>
      <c r="G103" s="8" t="str">
        <f>IF([1]All!$B104="","",[1]All!$B104)</f>
        <v xml:space="preserve">ATMN </v>
      </c>
      <c r="H103" s="8"/>
      <c r="I103" s="8" t="str">
        <f>IF([1]All!$D104=0,"",[1]All!$D104)</f>
        <v>F</v>
      </c>
      <c r="J103" s="8" t="str">
        <f>IF([1]All!$E104=0,"",[1]All!$E104)</f>
        <v>43UT5</v>
      </c>
      <c r="K103" s="8" t="s">
        <v>76</v>
      </c>
      <c r="L103" s="11" t="str">
        <f>IF([1]All!$L104=0,"",[1]All!$L104)</f>
        <v>SCREW, CAP, HEXAGON</v>
      </c>
      <c r="M103" s="7" t="str">
        <f>IF([1]All!$AJ104=0,"",[1]All!$AJ104)</f>
        <v xml:space="preserve">ARPU </v>
      </c>
      <c r="N103" s="7" t="str">
        <f>IF([1]All!$R104=0,"",[1]All!$R104)</f>
        <v>5305</v>
      </c>
      <c r="O103" s="7" t="str">
        <f>IF([1]All!$S104=0,"",[1]All!$S104)</f>
        <v>016205815</v>
      </c>
      <c r="P103" s="7" t="str">
        <f>IF([1]All!$V104=0,"",[1]All!$V104)</f>
        <v>0000000044</v>
      </c>
      <c r="Q103" s="3" t="str">
        <f t="shared" si="11"/>
        <v>$0.44</v>
      </c>
      <c r="R103" s="8" t="str">
        <f>IF([1]All!$F104=0,"",[1]All!$F104)</f>
        <v>38617</v>
      </c>
    </row>
    <row r="104" spans="1:18">
      <c r="A104" s="7"/>
      <c r="B104" s="3">
        <f t="shared" si="6"/>
        <v>70</v>
      </c>
      <c r="C104" s="3" t="str">
        <f t="shared" si="7"/>
        <v>F</v>
      </c>
      <c r="D104" s="9" t="str">
        <f t="shared" si="8"/>
        <v>DA731</v>
      </c>
      <c r="E104" s="3" t="str">
        <f t="shared" si="9"/>
        <v>ATSE  DA731</v>
      </c>
      <c r="F104" s="10" t="str">
        <f t="shared" si="10"/>
        <v>PCCN: CRGARM:-:PLISN: ATSE :-:PCC: TIT :-: CAGE: 0UJB5:-:PART NUMBER: DA731:-:NOMENCLATURE: NUT,SELF-LOCKING,HE:-:PRICE: $2.75:-:UNIQUE MODS: NO:-:PROPRIETARILY MFG FOR OEM: NO:-: :-: :-: :-:NSN: 5310015473981 :-: NHA: MIL-001-555 :-: NHA NSN: 5340015659367</v>
      </c>
      <c r="G104" s="8" t="str">
        <f>IF([1]All!$B105="","",[1]All!$B105)</f>
        <v xml:space="preserve">ATSE </v>
      </c>
      <c r="H104" s="8"/>
      <c r="I104" s="8" t="str">
        <f>IF([1]All!$D105=0,"",[1]All!$D105)</f>
        <v>F</v>
      </c>
      <c r="J104" s="8" t="str">
        <f>IF([1]All!$E105=0,"",[1]All!$E105)</f>
        <v>0UJB5</v>
      </c>
      <c r="K104" s="8" t="s">
        <v>77</v>
      </c>
      <c r="L104" s="11" t="str">
        <f>IF([1]All!$L105=0,"",[1]All!$L105)</f>
        <v>NUT,SELF-LOCKING,HE</v>
      </c>
      <c r="M104" s="7" t="str">
        <f>IF([1]All!$AJ105=0,"",[1]All!$AJ105)</f>
        <v xml:space="preserve">ARPU </v>
      </c>
      <c r="N104" s="7" t="str">
        <f>IF([1]All!$R105=0,"",[1]All!$R105)</f>
        <v>5310</v>
      </c>
      <c r="O104" s="7" t="str">
        <f>IF([1]All!$S105=0,"",[1]All!$S105)</f>
        <v>015473981</v>
      </c>
      <c r="P104" s="7" t="str">
        <f>IF([1]All!$V105=0,"",[1]All!$V105)</f>
        <v>0000000275</v>
      </c>
      <c r="Q104" s="3" t="str">
        <f t="shared" si="11"/>
        <v>$2.75</v>
      </c>
      <c r="R104" s="8" t="str">
        <f>IF([1]All!$F105=0,"",[1]All!$F105)</f>
        <v>DA731</v>
      </c>
    </row>
    <row r="105" spans="1:18">
      <c r="A105" s="7"/>
      <c r="B105" s="3">
        <f t="shared" si="6"/>
        <v>70</v>
      </c>
      <c r="C105" s="3" t="str">
        <f t="shared" si="7"/>
        <v>F</v>
      </c>
      <c r="D105" s="9" t="str">
        <f t="shared" si="8"/>
        <v>MIL-001-569</v>
      </c>
      <c r="E105" s="3" t="str">
        <f t="shared" si="9"/>
        <v>ATYA  MIL-001-569</v>
      </c>
      <c r="F105" s="10" t="str">
        <f t="shared" si="10"/>
        <v>PCCN: CRGARM:-:PLISN: ATYA :-:PCC: TIT :-: CAGE: 0UJB5:-:PART NUMBER: MIL-001-569:-:NOMENCLATURE: TRAY GUIDE:-:PRICE: $540.32:-:UNIQUE MODS: NO:-:PROPRIETARILY MFG FOR OEM: NO:-: :-: :-: :-:NSN: 5340015662623 :-: NHA: MIL-001-555 :-: NHA NSN: 5340015659367</v>
      </c>
      <c r="G105" s="8" t="str">
        <f>IF([1]All!$B106="","",[1]All!$B106)</f>
        <v xml:space="preserve">ATYA </v>
      </c>
      <c r="H105" s="8"/>
      <c r="I105" s="8" t="str">
        <f>IF([1]All!$D106=0,"",[1]All!$D106)</f>
        <v>F</v>
      </c>
      <c r="J105" s="8" t="str">
        <f>IF([1]All!$E106=0,"",[1]All!$E106)</f>
        <v>0UJB5</v>
      </c>
      <c r="K105" s="8" t="s">
        <v>78</v>
      </c>
      <c r="L105" s="11" t="str">
        <f>IF([1]All!$L106=0,"",[1]All!$L106)</f>
        <v>TRAY GUIDE</v>
      </c>
      <c r="M105" s="7" t="str">
        <f>IF([1]All!$AJ106=0,"",[1]All!$AJ106)</f>
        <v xml:space="preserve">ARPU </v>
      </c>
      <c r="N105" s="7" t="str">
        <f>IF([1]All!$R106=0,"",[1]All!$R106)</f>
        <v>5340</v>
      </c>
      <c r="O105" s="7" t="str">
        <f>IF([1]All!$S106=0,"",[1]All!$S106)</f>
        <v>015662623</v>
      </c>
      <c r="P105" s="7" t="str">
        <f>IF([1]All!$V106=0,"",[1]All!$V106)</f>
        <v>0000054032</v>
      </c>
      <c r="Q105" s="3" t="str">
        <f t="shared" si="11"/>
        <v>$540.32</v>
      </c>
      <c r="R105" s="8" t="str">
        <f>IF([1]All!$F106=0,"",[1]All!$F106)</f>
        <v>MIL-001-569</v>
      </c>
    </row>
    <row r="106" spans="1:18">
      <c r="A106" s="7"/>
      <c r="B106" s="3">
        <f t="shared" si="6"/>
        <v>70</v>
      </c>
      <c r="C106" s="3" t="str">
        <f t="shared" si="7"/>
        <v>F</v>
      </c>
      <c r="D106" s="9" t="str">
        <f t="shared" si="8"/>
        <v>0153973</v>
      </c>
      <c r="E106" s="3" t="str">
        <f t="shared" si="9"/>
        <v>AT36  0153973</v>
      </c>
      <c r="F106" s="10" t="str">
        <f t="shared" si="10"/>
        <v>PCCN: CRGARM:-:PLISN: AT36 :-:PCC: TIT :-: CAGE: 0Y3H3:-:PART NUMBER: 0153973:-:NOMENCLATURE: SCREW,CAP,HEXAGON H:-:PRICE: $0.27:-:UNIQUE MODS: NO:-:PROPRIETARILY MFG FOR OEM: NO:-: :-: :-: :-:NSN: 5305015796627 :-: NHA: MIL-001-555 :-: NHA NSN: 5340015659367</v>
      </c>
      <c r="G106" s="8" t="str">
        <f>IF([1]All!$B107="","",[1]All!$B107)</f>
        <v xml:space="preserve">AT36 </v>
      </c>
      <c r="H106" s="8"/>
      <c r="I106" s="8" t="str">
        <f>IF([1]All!$D107=0,"",[1]All!$D107)</f>
        <v>F</v>
      </c>
      <c r="J106" s="8" t="str">
        <f>IF([1]All!$E107=0,"",[1]All!$E107)</f>
        <v>0Y3H3</v>
      </c>
      <c r="K106" s="8" t="s">
        <v>79</v>
      </c>
      <c r="L106" s="11" t="str">
        <f>IF([1]All!$L107=0,"",[1]All!$L107)</f>
        <v>SCREW,CAP,HEXAGON H</v>
      </c>
      <c r="M106" s="7" t="str">
        <f>IF([1]All!$AJ107=0,"",[1]All!$AJ107)</f>
        <v xml:space="preserve">ARPU </v>
      </c>
      <c r="N106" s="7" t="str">
        <f>IF([1]All!$R107=0,"",[1]All!$R107)</f>
        <v>5305</v>
      </c>
      <c r="O106" s="7" t="str">
        <f>IF([1]All!$S107=0,"",[1]All!$S107)</f>
        <v>015796627</v>
      </c>
      <c r="P106" s="7" t="str">
        <f>IF([1]All!$V107=0,"",[1]All!$V107)</f>
        <v>0000000027</v>
      </c>
      <c r="Q106" s="3" t="str">
        <f t="shared" si="11"/>
        <v>$0.27</v>
      </c>
      <c r="R106" s="8" t="str">
        <f>IF([1]All!$F107=0,"",[1]All!$F107)</f>
        <v>0153973</v>
      </c>
    </row>
    <row r="107" spans="1:18">
      <c r="A107" s="7"/>
      <c r="B107" s="3">
        <f t="shared" si="6"/>
        <v>70</v>
      </c>
      <c r="C107" s="3" t="str">
        <f t="shared" si="7"/>
        <v>F</v>
      </c>
      <c r="D107" s="9" t="str">
        <f t="shared" si="8"/>
        <v>20-30115</v>
      </c>
      <c r="E107" s="3" t="str">
        <f t="shared" si="9"/>
        <v>AT92  20-30115</v>
      </c>
      <c r="F107" s="10" t="str">
        <f t="shared" si="10"/>
        <v>PCCN: CRGARM:-:PLISN: AT92 :-:PCC: TIT :-: CAGE: 28953:-:PART NUMBER: 20-30115:-:NOMENCLATURE: WASHER,FLAT:-:PRICE: $0.05:-:UNIQUE MODS: NO:-:PROPRIETARILY MFG FOR OEM: NO:-: :-: :-: :-:NSN: 5310015096341 :-: NHA: MIL-001-555 :-: NHA NSN: 5340015659367</v>
      </c>
      <c r="G107" s="8" t="str">
        <f>IF([1]All!$B108="","",[1]All!$B108)</f>
        <v xml:space="preserve">AT92 </v>
      </c>
      <c r="H107" s="8"/>
      <c r="I107" s="8" t="str">
        <f>IF([1]All!$D108=0,"",[1]All!$D108)</f>
        <v>F</v>
      </c>
      <c r="J107" s="8" t="str">
        <f>IF([1]All!$E108=0,"",[1]All!$E108)</f>
        <v>28953</v>
      </c>
      <c r="K107" s="8" t="s">
        <v>80</v>
      </c>
      <c r="L107" s="11" t="str">
        <f>IF([1]All!$L108=0,"",[1]All!$L108)</f>
        <v>WASHER,FLAT</v>
      </c>
      <c r="M107" s="7" t="str">
        <f>IF([1]All!$AJ108=0,"",[1]All!$AJ108)</f>
        <v xml:space="preserve">ARPU </v>
      </c>
      <c r="N107" s="7" t="str">
        <f>IF([1]All!$R108=0,"",[1]All!$R108)</f>
        <v>5310</v>
      </c>
      <c r="O107" s="7" t="str">
        <f>IF([1]All!$S108=0,"",[1]All!$S108)</f>
        <v>015096341</v>
      </c>
      <c r="P107" s="7" t="str">
        <f>IF([1]All!$V108=0,"",[1]All!$V108)</f>
        <v>0000000005</v>
      </c>
      <c r="Q107" s="3" t="str">
        <f t="shared" si="11"/>
        <v>$0.05</v>
      </c>
      <c r="R107" s="8" t="str">
        <f>IF([1]All!$F108=0,"",[1]All!$F108)</f>
        <v>20-30115</v>
      </c>
    </row>
    <row r="108" spans="1:18">
      <c r="A108" s="7"/>
      <c r="B108" s="3">
        <f t="shared" si="6"/>
        <v>70</v>
      </c>
      <c r="C108" s="3" t="str">
        <f t="shared" si="7"/>
        <v>F</v>
      </c>
      <c r="D108" s="9" t="str">
        <f t="shared" si="8"/>
        <v>MIL-001-559</v>
      </c>
      <c r="E108" s="3" t="str">
        <f t="shared" si="9"/>
        <v>AUFY  MIL-001-559</v>
      </c>
      <c r="F108" s="10" t="str">
        <f t="shared" si="10"/>
        <v>PCCN: CRGARM:-:PLISN: AUFY :-:PCC: TIT :-: CAGE: 0UJB5:-:PART NUMBER: MIL-001-559:-:NOMENCLATURE: SPACER,SLEEVE:-:PRICE: $11.02:-:UNIQUE MODS: NO:-:PROPRIETARILY MFG FOR OEM: NO:-: :-: :-: :-:NSN: 5365015660687 :-: NHA: MIL-001-555 :-: NHA NSN: 5340015659367</v>
      </c>
      <c r="G108" s="8" t="str">
        <f>IF([1]All!$B109="","",[1]All!$B109)</f>
        <v xml:space="preserve">AUFY </v>
      </c>
      <c r="H108" s="8"/>
      <c r="I108" s="8" t="str">
        <f>IF([1]All!$D109=0,"",[1]All!$D109)</f>
        <v>F</v>
      </c>
      <c r="J108" s="8" t="str">
        <f>IF([1]All!$E109=0,"",[1]All!$E109)</f>
        <v>0UJB5</v>
      </c>
      <c r="K108" s="8" t="s">
        <v>81</v>
      </c>
      <c r="L108" s="11" t="str">
        <f>IF([1]All!$L109=0,"",[1]All!$L109)</f>
        <v>SPACER,SLEEVE</v>
      </c>
      <c r="M108" s="7" t="str">
        <f>IF([1]All!$AJ109=0,"",[1]All!$AJ109)</f>
        <v xml:space="preserve">ARPU </v>
      </c>
      <c r="N108" s="7" t="str">
        <f>IF([1]All!$R109=0,"",[1]All!$R109)</f>
        <v>5365</v>
      </c>
      <c r="O108" s="7" t="str">
        <f>IF([1]All!$S109=0,"",[1]All!$S109)</f>
        <v>015660687</v>
      </c>
      <c r="P108" s="7" t="str">
        <f>IF([1]All!$V109=0,"",[1]All!$V109)</f>
        <v>0000001102</v>
      </c>
      <c r="Q108" s="3" t="str">
        <f t="shared" si="11"/>
        <v>$11.02</v>
      </c>
      <c r="R108" s="8" t="str">
        <f>IF([1]All!$F109=0,"",[1]All!$F109)</f>
        <v>MIL-001-559</v>
      </c>
    </row>
    <row r="109" spans="1:18">
      <c r="A109" s="7"/>
      <c r="B109" s="3">
        <f t="shared" si="6"/>
        <v>69</v>
      </c>
      <c r="C109" s="3" t="str">
        <f t="shared" si="7"/>
        <v>E</v>
      </c>
      <c r="D109" s="9" t="str">
        <f t="shared" si="8"/>
        <v>MIL-001-508</v>
      </c>
      <c r="E109" s="3" t="str">
        <f t="shared" si="9"/>
        <v>AUMU  MIL-001-508</v>
      </c>
      <c r="F109" s="10" t="str">
        <f t="shared" si="10"/>
        <v>PCCN: CRGARM:-:PLISN: AUMU :-:PCC: TIT :-: CAGE: 0UJB5:-:PART NUMBER: MIL-001-508:-:NOMENCLATURE: TUBE ASSEMBLY,METAL:-:PRICE: $30.34:-:UNIQUE MODS: NO:-:PROPRIETARILY MFG FOR OEM: NO:-: :-: :-: :-:NSN: 4710015660741 :-: NHA: MIL-001-396 :-: NHA NSN: 3810015663870</v>
      </c>
      <c r="G109" s="8" t="str">
        <f>IF([1]All!$B110="","",[1]All!$B110)</f>
        <v xml:space="preserve">AUMU </v>
      </c>
      <c r="H109" s="8"/>
      <c r="I109" s="8" t="str">
        <f>IF([1]All!$D110=0,"",[1]All!$D110)</f>
        <v>E</v>
      </c>
      <c r="J109" s="8" t="str">
        <f>IF([1]All!$E110=0,"",[1]All!$E110)</f>
        <v>0UJB5</v>
      </c>
      <c r="K109" s="8" t="s">
        <v>82</v>
      </c>
      <c r="L109" s="11" t="str">
        <f>IF([1]All!$L110=0,"",[1]All!$L110)</f>
        <v>TUBE ASSEMBLY,METAL</v>
      </c>
      <c r="M109" s="7" t="str">
        <f>IF([1]All!$AJ110=0,"",[1]All!$AJ110)</f>
        <v xml:space="preserve">AATY </v>
      </c>
      <c r="N109" s="7" t="str">
        <f>IF([1]All!$R110=0,"",[1]All!$R110)</f>
        <v>4710</v>
      </c>
      <c r="O109" s="7" t="str">
        <f>IF([1]All!$S110=0,"",[1]All!$S110)</f>
        <v>015660741</v>
      </c>
      <c r="P109" s="7" t="str">
        <f>IF([1]All!$V110=0,"",[1]All!$V110)</f>
        <v>0000003034</v>
      </c>
      <c r="Q109" s="3" t="str">
        <f t="shared" si="11"/>
        <v>$30.34</v>
      </c>
      <c r="R109" s="8" t="str">
        <f>IF([1]All!$F110=0,"",[1]All!$F110)</f>
        <v>MIL-001-508</v>
      </c>
    </row>
    <row r="110" spans="1:18">
      <c r="A110" s="7"/>
      <c r="B110" s="3">
        <f t="shared" si="6"/>
        <v>69</v>
      </c>
      <c r="C110" s="3" t="str">
        <f t="shared" si="7"/>
        <v>E</v>
      </c>
      <c r="D110" s="9" t="str">
        <f t="shared" si="8"/>
        <v>MIL-001-509</v>
      </c>
      <c r="E110" s="3" t="str">
        <f t="shared" si="9"/>
        <v>AUTQ  MIL-001-509</v>
      </c>
      <c r="F110" s="10" t="str">
        <f t="shared" si="10"/>
        <v>PCCN: CRGARM:-:PLISN: AUTQ :-:PCC: TIT :-: CAGE: 0UJB5:-:PART NUMBER: MIL-001-509:-:NOMENCLATURE: TUBE ASSEMBLY,METAL:-:PRICE: $48.25:-:UNIQUE MODS: NO:-:PROPRIETARILY MFG FOR OEM: NO:-: :-: :-: :-:NSN: 4710015658889 :-: NHA: MIL-001-396 :-: NHA NSN: 3810015663870</v>
      </c>
      <c r="G110" s="8" t="str">
        <f>IF([1]All!$B111="","",[1]All!$B111)</f>
        <v xml:space="preserve">AUTQ </v>
      </c>
      <c r="H110" s="8"/>
      <c r="I110" s="8" t="str">
        <f>IF([1]All!$D111=0,"",[1]All!$D111)</f>
        <v>E</v>
      </c>
      <c r="J110" s="8" t="str">
        <f>IF([1]All!$E111=0,"",[1]All!$E111)</f>
        <v>0UJB5</v>
      </c>
      <c r="K110" s="8" t="s">
        <v>83</v>
      </c>
      <c r="L110" s="11" t="str">
        <f>IF([1]All!$L111=0,"",[1]All!$L111)</f>
        <v>TUBE ASSEMBLY,METAL</v>
      </c>
      <c r="M110" s="7" t="str">
        <f>IF([1]All!$AJ111=0,"",[1]All!$AJ111)</f>
        <v xml:space="preserve">AATY </v>
      </c>
      <c r="N110" s="7" t="str">
        <f>IF([1]All!$R111=0,"",[1]All!$R111)</f>
        <v>4710</v>
      </c>
      <c r="O110" s="7" t="str">
        <f>IF([1]All!$S111=0,"",[1]All!$S111)</f>
        <v>015658889</v>
      </c>
      <c r="P110" s="7" t="str">
        <f>IF([1]All!$V111=0,"",[1]All!$V111)</f>
        <v>0000004825</v>
      </c>
      <c r="Q110" s="3" t="str">
        <f t="shared" si="11"/>
        <v>$48.25</v>
      </c>
      <c r="R110" s="8" t="str">
        <f>IF([1]All!$F111=0,"",[1]All!$F111)</f>
        <v>MIL-001-509</v>
      </c>
    </row>
    <row r="111" spans="1:18">
      <c r="A111" s="7"/>
      <c r="B111" s="3">
        <f t="shared" si="6"/>
        <v>69</v>
      </c>
      <c r="C111" s="3" t="str">
        <f t="shared" si="7"/>
        <v>E</v>
      </c>
      <c r="D111" s="9" t="str">
        <f t="shared" si="8"/>
        <v>MIL-001-502</v>
      </c>
      <c r="E111" s="3" t="str">
        <f t="shared" si="9"/>
        <v>AUZL  MIL-001-502</v>
      </c>
      <c r="F111" s="10" t="str">
        <f t="shared" si="10"/>
        <v>PCCN: CRGARM:-:PLISN: AUZL :-:PCC: TIT :-: CAGE: 0UJB5:-:PART NUMBER: MIL-001-502:-:NOMENCLATURE: HOSE ASSEMBLY,NONME:-:PRICE: $162.17:-:UNIQUE MODS: NO:-:PROPRIETARILY MFG FOR OEM: NO:-: :-: :-: :-:NSN: 4720015660795 :-: NHA: MIL-001-396 :-: NHA NSN: 3810015663870</v>
      </c>
      <c r="G111" s="8" t="str">
        <f>IF([1]All!$B112="","",[1]All!$B112)</f>
        <v xml:space="preserve">AUZL </v>
      </c>
      <c r="H111" s="8"/>
      <c r="I111" s="8" t="str">
        <f>IF([1]All!$D112=0,"",[1]All!$D112)</f>
        <v>E</v>
      </c>
      <c r="J111" s="8" t="str">
        <f>IF([1]All!$E112=0,"",[1]All!$E112)</f>
        <v>0UJB5</v>
      </c>
      <c r="K111" s="8" t="s">
        <v>84</v>
      </c>
      <c r="L111" s="11" t="str">
        <f>IF([1]All!$L112=0,"",[1]All!$L112)</f>
        <v>HOSE ASSEMBLY,NONME</v>
      </c>
      <c r="M111" s="7" t="str">
        <f>IF([1]All!$AJ112=0,"",[1]All!$AJ112)</f>
        <v xml:space="preserve">AATY </v>
      </c>
      <c r="N111" s="7" t="str">
        <f>IF([1]All!$R112=0,"",[1]All!$R112)</f>
        <v>4720</v>
      </c>
      <c r="O111" s="7" t="str">
        <f>IF([1]All!$S112=0,"",[1]All!$S112)</f>
        <v>015660795</v>
      </c>
      <c r="P111" s="7" t="str">
        <f>IF([1]All!$V112=0,"",[1]All!$V112)</f>
        <v>0000016217</v>
      </c>
      <c r="Q111" s="3" t="str">
        <f t="shared" si="11"/>
        <v>$162.17</v>
      </c>
      <c r="R111" s="8" t="str">
        <f>IF([1]All!$F112=0,"",[1]All!$F112)</f>
        <v>MIL-001-502</v>
      </c>
    </row>
    <row r="112" spans="1:18">
      <c r="A112" s="7"/>
      <c r="B112" s="3">
        <f t="shared" si="6"/>
        <v>69</v>
      </c>
      <c r="C112" s="3" t="str">
        <f t="shared" si="7"/>
        <v>E</v>
      </c>
      <c r="D112" s="9" t="str">
        <f t="shared" si="8"/>
        <v>MIL-001-241</v>
      </c>
      <c r="E112" s="3" t="str">
        <f t="shared" si="9"/>
        <v>AU5G  MIL-001-241</v>
      </c>
      <c r="F112" s="10" t="str">
        <f t="shared" si="10"/>
        <v>PCCN: CRGARM:-:PLISN: AU5G :-:PCC: TIT :-: CAGE: 0UJB5:-:PART NUMBER: MIL-001-241:-:NOMENCLATURE: PIN ASSEMBLY,HOLDIN:-:PRICE: $57.03:-:UNIQUE MODS: NO:-:PROPRIETARILY MFG FOR OEM: NO:-: :-: :-: :-:NSN: 5315015659357 :-: NHA: MIL-001-396 :-: NHA NSN: 3810015663870</v>
      </c>
      <c r="G112" s="8" t="str">
        <f>IF([1]All!$B113="","",[1]All!$B113)</f>
        <v xml:space="preserve">AU5G </v>
      </c>
      <c r="H112" s="8"/>
      <c r="I112" s="8" t="str">
        <f>IF([1]All!$D113=0,"",[1]All!$D113)</f>
        <v>E</v>
      </c>
      <c r="J112" s="8" t="str">
        <f>IF([1]All!$E113=0,"",[1]All!$E113)</f>
        <v>0UJB5</v>
      </c>
      <c r="K112" s="8" t="s">
        <v>85</v>
      </c>
      <c r="L112" s="11" t="str">
        <f>IF([1]All!$L113=0,"",[1]All!$L113)</f>
        <v>PIN ASSEMBLY,HOLDIN</v>
      </c>
      <c r="M112" s="7" t="str">
        <f>IF([1]All!$AJ113=0,"",[1]All!$AJ113)</f>
        <v xml:space="preserve">AATY </v>
      </c>
      <c r="N112" s="7" t="str">
        <f>IF([1]All!$R113=0,"",[1]All!$R113)</f>
        <v>5315</v>
      </c>
      <c r="O112" s="7" t="str">
        <f>IF([1]All!$S113=0,"",[1]All!$S113)</f>
        <v>015659357</v>
      </c>
      <c r="P112" s="7" t="str">
        <f>IF([1]All!$V113=0,"",[1]All!$V113)</f>
        <v>0000005703</v>
      </c>
      <c r="Q112" s="3" t="str">
        <f t="shared" si="11"/>
        <v>$57.03</v>
      </c>
      <c r="R112" s="8" t="str">
        <f>IF([1]All!$F113=0,"",[1]All!$F113)</f>
        <v>MIL-001-241</v>
      </c>
    </row>
    <row r="113" spans="1:18">
      <c r="A113" s="7"/>
      <c r="B113" s="3">
        <f t="shared" si="6"/>
        <v>69</v>
      </c>
      <c r="C113" s="3" t="str">
        <f t="shared" si="7"/>
        <v>E</v>
      </c>
      <c r="D113" s="9" t="str">
        <f t="shared" si="8"/>
        <v>MIL-001-561</v>
      </c>
      <c r="E113" s="3" t="str">
        <f t="shared" si="9"/>
        <v>AVBC  MIL-001-561</v>
      </c>
      <c r="F113" s="10" t="str">
        <f t="shared" si="10"/>
        <v>PCCN: CRGARM:-:PLISN: AVBC :-:PCC: TIT :-: CAGE: 0UJB5:-:PART NUMBER: MIL-001-561:-:NOMENCLATURE: TUBING,NONMETALLIC:-:PRICE: $78.00:-:UNIQUE MODS: NO:-:PROPRIETARILY MFG FOR OEM: NO:-: :-: :-: :-:NSN: 4720015670268 :-: NHA: MIL-001-396 :-: NHA NSN: 3810015663870</v>
      </c>
      <c r="G113" s="8" t="str">
        <f>IF([1]All!$B114="","",[1]All!$B114)</f>
        <v xml:space="preserve">AVBC </v>
      </c>
      <c r="H113" s="8"/>
      <c r="I113" s="8" t="str">
        <f>IF([1]All!$D114=0,"",[1]All!$D114)</f>
        <v>E</v>
      </c>
      <c r="J113" s="8" t="str">
        <f>IF([1]All!$E114=0,"",[1]All!$E114)</f>
        <v>0UJB5</v>
      </c>
      <c r="K113" s="8" t="s">
        <v>86</v>
      </c>
      <c r="L113" s="11" t="str">
        <f>IF([1]All!$L114=0,"",[1]All!$L114)</f>
        <v>TUBING,NONMETALLIC</v>
      </c>
      <c r="M113" s="7" t="str">
        <f>IF([1]All!$AJ114=0,"",[1]All!$AJ114)</f>
        <v xml:space="preserve">AATY </v>
      </c>
      <c r="N113" s="7" t="str">
        <f>IF([1]All!$R114=0,"",[1]All!$R114)</f>
        <v>4720</v>
      </c>
      <c r="O113" s="7" t="str">
        <f>IF([1]All!$S114=0,"",[1]All!$S114)</f>
        <v>015670268</v>
      </c>
      <c r="P113" s="7" t="str">
        <f>IF([1]All!$V114=0,"",[1]All!$V114)</f>
        <v>0000007800</v>
      </c>
      <c r="Q113" s="3" t="str">
        <f t="shared" si="11"/>
        <v>$78.00</v>
      </c>
      <c r="R113" s="8" t="str">
        <f>IF([1]All!$F114=0,"",[1]All!$F114)</f>
        <v>MIL-001-561</v>
      </c>
    </row>
    <row r="114" spans="1:18">
      <c r="A114" s="7"/>
      <c r="B114" s="3">
        <f t="shared" si="6"/>
        <v>69</v>
      </c>
      <c r="C114" s="3" t="str">
        <f t="shared" si="7"/>
        <v>E</v>
      </c>
      <c r="D114" s="9" t="str">
        <f t="shared" si="8"/>
        <v>MIL-001-572</v>
      </c>
      <c r="E114" s="3" t="str">
        <f t="shared" si="9"/>
        <v>AVG8  MIL-001-572</v>
      </c>
      <c r="F114" s="10" t="str">
        <f t="shared" si="10"/>
        <v>PCCN: CRGARM:-:PLISN: AVG8 :-:PCC: TIT :-: CAGE: 0UJB5:-:PART NUMBER: MIL-001-572:-:NOMENCLATURE: CLAMP,BLOCK:-:PRICE: $66.20:-:UNIQUE MODS: NO:-:PROPRIETARILY MFG FOR OEM: NO:-: :-: :-: :-:NSN: 5340015658904 :-: NHA: MIL-001-396 :-: NHA NSN: 3810015663870</v>
      </c>
      <c r="G114" s="8" t="str">
        <f>IF([1]All!$B115="","",[1]All!$B115)</f>
        <v xml:space="preserve">AVG8 </v>
      </c>
      <c r="H114" s="8"/>
      <c r="I114" s="8" t="str">
        <f>IF([1]All!$D115=0,"",[1]All!$D115)</f>
        <v>E</v>
      </c>
      <c r="J114" s="8" t="str">
        <f>IF([1]All!$E115=0,"",[1]All!$E115)</f>
        <v>0UJB5</v>
      </c>
      <c r="K114" s="8" t="s">
        <v>87</v>
      </c>
      <c r="L114" s="11" t="str">
        <f>IF([1]All!$L115=0,"",[1]All!$L115)</f>
        <v>CLAMP,BLOCK</v>
      </c>
      <c r="M114" s="7" t="str">
        <f>IF([1]All!$AJ115=0,"",[1]All!$AJ115)</f>
        <v xml:space="preserve">AATY </v>
      </c>
      <c r="N114" s="7" t="str">
        <f>IF([1]All!$R115=0,"",[1]All!$R115)</f>
        <v>5340</v>
      </c>
      <c r="O114" s="7" t="str">
        <f>IF([1]All!$S115=0,"",[1]All!$S115)</f>
        <v>015658904</v>
      </c>
      <c r="P114" s="7" t="str">
        <f>IF([1]All!$V115=0,"",[1]All!$V115)</f>
        <v>0000006620</v>
      </c>
      <c r="Q114" s="3" t="str">
        <f t="shared" si="11"/>
        <v>$66.20</v>
      </c>
      <c r="R114" s="8" t="str">
        <f>IF([1]All!$F115=0,"",[1]All!$F115)</f>
        <v>MIL-001-572</v>
      </c>
    </row>
    <row r="115" spans="1:18">
      <c r="A115" s="7"/>
      <c r="B115" s="3">
        <f t="shared" si="6"/>
        <v>69</v>
      </c>
      <c r="C115" s="3" t="str">
        <f t="shared" si="7"/>
        <v>E</v>
      </c>
      <c r="D115" s="9" t="str">
        <f t="shared" si="8"/>
        <v>93501A030</v>
      </c>
      <c r="E115" s="3" t="str">
        <f t="shared" si="9"/>
        <v>AVN4  93501A030</v>
      </c>
      <c r="F115" s="10" t="str">
        <f t="shared" si="10"/>
        <v>PCCN: CRGARM:-:PLISN: AVN4 :-:PCC: TIT :-: CAGE: 39428:-:PART NUMBER: 93501A030:-:NOMENCLATURE: WASHER,SPRING TENSI:-:PRICE: $0.14:-:UNIQUE MODS: NO:-:PROPRIETARILY MFG FOR OEM: NO:-: :-: :-: :-:NSN: 5310015673996 :-: NHA: MIL-001-396 :-: NHA NSN: 3810015663870</v>
      </c>
      <c r="G115" s="8" t="str">
        <f>IF([1]All!$B116="","",[1]All!$B116)</f>
        <v xml:space="preserve">AVN4 </v>
      </c>
      <c r="H115" s="8"/>
      <c r="I115" s="8" t="str">
        <f>IF([1]All!$D116=0,"",[1]All!$D116)</f>
        <v>E</v>
      </c>
      <c r="J115" s="8" t="str">
        <f>IF([1]All!$E116=0,"",[1]All!$E116)</f>
        <v>39428</v>
      </c>
      <c r="K115" s="8" t="s">
        <v>71</v>
      </c>
      <c r="L115" s="11" t="str">
        <f>IF([1]All!$L116=0,"",[1]All!$L116)</f>
        <v>WASHER,SPRING TENSI</v>
      </c>
      <c r="M115" s="7" t="str">
        <f>IF([1]All!$AJ116=0,"",[1]All!$AJ116)</f>
        <v xml:space="preserve">AATY </v>
      </c>
      <c r="N115" s="7" t="str">
        <f>IF([1]All!$R116=0,"",[1]All!$R116)</f>
        <v>5310</v>
      </c>
      <c r="O115" s="7" t="str">
        <f>IF([1]All!$S116=0,"",[1]All!$S116)</f>
        <v>015673996</v>
      </c>
      <c r="P115" s="7" t="str">
        <f>IF([1]All!$V116=0,"",[1]All!$V116)</f>
        <v>0000000014</v>
      </c>
      <c r="Q115" s="3" t="str">
        <f t="shared" si="11"/>
        <v>$0.14</v>
      </c>
      <c r="R115" s="8" t="str">
        <f>IF([1]All!$F116=0,"",[1]All!$F116)</f>
        <v>93501A030</v>
      </c>
    </row>
    <row r="116" spans="1:18">
      <c r="A116" s="7"/>
      <c r="B116" s="3">
        <f t="shared" si="6"/>
        <v>69</v>
      </c>
      <c r="C116" s="3" t="str">
        <f t="shared" si="7"/>
        <v>E</v>
      </c>
      <c r="D116" s="9" t="str">
        <f t="shared" si="8"/>
        <v>0153974</v>
      </c>
      <c r="E116" s="3" t="str">
        <f t="shared" si="9"/>
        <v>AVU0  0153974</v>
      </c>
      <c r="F116" s="10" t="str">
        <f t="shared" si="10"/>
        <v>PCCN: CRGARM:-:PLISN: AVU0 :-:PCC: TIT :-: CAGE: 0Y3H3:-:PART NUMBER: 0153974:-:NOMENCLATURE: SCREW,CAP,HEXAGON H:-:PRICE: $0.13:-:UNIQUE MODS: NO:-:PROPRIETARILY MFG FOR OEM: NO:-: :-: :-: :-:NSN: 5305015502085 :-: NHA: MIL-001-396 :-: NHA NSN: 3810015663870</v>
      </c>
      <c r="G116" s="8" t="str">
        <f>IF([1]All!$B117="","",[1]All!$B117)</f>
        <v xml:space="preserve">AVU0 </v>
      </c>
      <c r="H116" s="8"/>
      <c r="I116" s="8" t="str">
        <f>IF([1]All!$D117=0,"",[1]All!$D117)</f>
        <v>E</v>
      </c>
      <c r="J116" s="8" t="str">
        <f>IF([1]All!$E117=0,"",[1]All!$E117)</f>
        <v>0Y3H3</v>
      </c>
      <c r="K116" s="8" t="s">
        <v>70</v>
      </c>
      <c r="L116" s="11" t="str">
        <f>IF([1]All!$L117=0,"",[1]All!$L117)</f>
        <v>SCREW,CAP,HEXAGON H</v>
      </c>
      <c r="M116" s="7" t="str">
        <f>IF([1]All!$AJ117=0,"",[1]All!$AJ117)</f>
        <v xml:space="preserve">AATY </v>
      </c>
      <c r="N116" s="7" t="str">
        <f>IF([1]All!$R117=0,"",[1]All!$R117)</f>
        <v>5305</v>
      </c>
      <c r="O116" s="7" t="str">
        <f>IF([1]All!$S117=0,"",[1]All!$S117)</f>
        <v>015502085</v>
      </c>
      <c r="P116" s="7" t="str">
        <f>IF([1]All!$V117=0,"",[1]All!$V117)</f>
        <v>0000000013</v>
      </c>
      <c r="Q116" s="3" t="str">
        <f t="shared" si="11"/>
        <v>$0.13</v>
      </c>
      <c r="R116" s="8" t="str">
        <f>IF([1]All!$F117=0,"",[1]All!$F117)</f>
        <v>0153974</v>
      </c>
    </row>
    <row r="117" spans="1:18">
      <c r="A117" s="7"/>
      <c r="B117" s="3">
        <f t="shared" si="6"/>
        <v>69</v>
      </c>
      <c r="C117" s="3" t="str">
        <f t="shared" si="7"/>
        <v>E</v>
      </c>
      <c r="D117" s="9" t="str">
        <f t="shared" si="8"/>
        <v>MIL-001-583</v>
      </c>
      <c r="E117" s="3" t="str">
        <f t="shared" si="9"/>
        <v>AV0W  MIL-001-583</v>
      </c>
      <c r="F117" s="10" t="str">
        <f t="shared" si="10"/>
        <v>PCCN: CRGARM:-:PLISN: AV0W :-:PCC: TIT :-: CAGE: 0UJB5:-:PART NUMBER: MIL-001-583:-:NOMENCLATURE: TEE,HOSE:-:PRICE: $11.36:-:UNIQUE MODS: NO:-:PROPRIETARILY MFG FOR OEM: NO:-: :-: :-: :-:NSN: 4730015677530 :-: NHA: MIL-001-396 :-: NHA NSN: 3810015663870</v>
      </c>
      <c r="G117" s="8" t="str">
        <f>IF([1]All!$B118="","",[1]All!$B118)</f>
        <v xml:space="preserve">AV0W </v>
      </c>
      <c r="H117" s="8"/>
      <c r="I117" s="8" t="str">
        <f>IF([1]All!$D118=0,"",[1]All!$D118)</f>
        <v>E</v>
      </c>
      <c r="J117" s="8" t="str">
        <f>IF([1]All!$E118=0,"",[1]All!$E118)</f>
        <v>0UJB5</v>
      </c>
      <c r="K117" s="8" t="s">
        <v>88</v>
      </c>
      <c r="L117" s="11" t="str">
        <f>IF([1]All!$L118=0,"",[1]All!$L118)</f>
        <v>TEE,HOSE</v>
      </c>
      <c r="M117" s="7" t="str">
        <f>IF([1]All!$AJ118=0,"",[1]All!$AJ118)</f>
        <v xml:space="preserve">AATY </v>
      </c>
      <c r="N117" s="7" t="str">
        <f>IF([1]All!$R118=0,"",[1]All!$R118)</f>
        <v>4730</v>
      </c>
      <c r="O117" s="7" t="str">
        <f>IF([1]All!$S118=0,"",[1]All!$S118)</f>
        <v>015677530</v>
      </c>
      <c r="P117" s="7" t="str">
        <f>IF([1]All!$V118=0,"",[1]All!$V118)</f>
        <v>0000001136</v>
      </c>
      <c r="Q117" s="3" t="str">
        <f t="shared" si="11"/>
        <v>$11.36</v>
      </c>
      <c r="R117" s="8" t="str">
        <f>IF([1]All!$F118=0,"",[1]All!$F118)</f>
        <v>MIL-001-583</v>
      </c>
    </row>
    <row r="118" spans="1:18">
      <c r="A118" s="7"/>
      <c r="B118" s="3">
        <f t="shared" si="6"/>
        <v>69</v>
      </c>
      <c r="C118" s="3" t="str">
        <f t="shared" si="7"/>
        <v>E</v>
      </c>
      <c r="D118" s="9" t="str">
        <f t="shared" si="8"/>
        <v>MIL-001-575</v>
      </c>
      <c r="E118" s="3" t="str">
        <f t="shared" si="9"/>
        <v>AV6S  MIL-001-575</v>
      </c>
      <c r="F118" s="10" t="str">
        <f t="shared" si="10"/>
        <v>PCCN: CRGARM:-:PLISN: AV6S :-:PCC: TIT :-: CAGE: 0UJB5:-:PART NUMBER: MIL-001-575:-:NOMENCLATURE: CLAMP,BLOCK:-:PRICE: $2.49:-:UNIQUE MODS: NO:-:PROPRIETARILY MFG FOR OEM: NO:-: :-: :-: :-:NSN: 5340015658892 :-: NHA: MIL-001-396 :-: NHA NSN: 3810015663870</v>
      </c>
      <c r="G118" s="8" t="str">
        <f>IF([1]All!$B119="","",[1]All!$B119)</f>
        <v xml:space="preserve">AV6S </v>
      </c>
      <c r="H118" s="8"/>
      <c r="I118" s="8" t="str">
        <f>IF([1]All!$D119=0,"",[1]All!$D119)</f>
        <v>E</v>
      </c>
      <c r="J118" s="8" t="str">
        <f>IF([1]All!$E119=0,"",[1]All!$E119)</f>
        <v>0UJB5</v>
      </c>
      <c r="K118" s="8" t="s">
        <v>89</v>
      </c>
      <c r="L118" s="11" t="str">
        <f>IF([1]All!$L119=0,"",[1]All!$L119)</f>
        <v>CLAMP,BLOCK</v>
      </c>
      <c r="M118" s="7" t="str">
        <f>IF([1]All!$AJ119=0,"",[1]All!$AJ119)</f>
        <v xml:space="preserve">AATY </v>
      </c>
      <c r="N118" s="7" t="str">
        <f>IF([1]All!$R119=0,"",[1]All!$R119)</f>
        <v>5340</v>
      </c>
      <c r="O118" s="7" t="str">
        <f>IF([1]All!$S119=0,"",[1]All!$S119)</f>
        <v>015658892</v>
      </c>
      <c r="P118" s="7" t="str">
        <f>IF([1]All!$V119=0,"",[1]All!$V119)</f>
        <v>0000000249</v>
      </c>
      <c r="Q118" s="3" t="str">
        <f t="shared" si="11"/>
        <v>$2.49</v>
      </c>
      <c r="R118" s="8" t="str">
        <f>IF([1]All!$F119=0,"",[1]All!$F119)</f>
        <v>MIL-001-575</v>
      </c>
    </row>
    <row r="119" spans="1:18">
      <c r="A119" s="7"/>
      <c r="B119" s="3">
        <f t="shared" si="6"/>
        <v>69</v>
      </c>
      <c r="C119" s="3" t="str">
        <f t="shared" si="7"/>
        <v>E</v>
      </c>
      <c r="D119" s="9" t="str">
        <f t="shared" si="8"/>
        <v>430-008</v>
      </c>
      <c r="E119" s="3" t="str">
        <f t="shared" si="9"/>
        <v>AWCN  430-008</v>
      </c>
      <c r="F119" s="10" t="str">
        <f t="shared" si="10"/>
        <v>PCCN: CRGARM:-:PLISN: AWCN :-:PCC: TIT :-: CAGE: 72741:-:PART NUMBER: 430-008:-:NOMENCLATURE: NUT,PLAIN,HEXAGON:-:PRICE: $0.06:-:UNIQUE MODS: NO:-:PROPRIETARILY MFG FOR OEM: NO:-: :-: :-: :-:NSN: 5310011374829 :-: NHA: MIL-001-396 :-: NHA NSN: 3810015663870</v>
      </c>
      <c r="G119" s="8" t="str">
        <f>IF([1]All!$B120="","",[1]All!$B120)</f>
        <v xml:space="preserve">AWCN </v>
      </c>
      <c r="H119" s="8"/>
      <c r="I119" s="8" t="str">
        <f>IF([1]All!$D120=0,"",[1]All!$D120)</f>
        <v>E</v>
      </c>
      <c r="J119" s="8" t="str">
        <f>IF([1]All!$E120=0,"",[1]All!$E120)</f>
        <v>72741</v>
      </c>
      <c r="K119" s="8" t="s">
        <v>90</v>
      </c>
      <c r="L119" s="11" t="str">
        <f>IF([1]All!$L120=0,"",[1]All!$L120)</f>
        <v>NUT,PLAIN,HEXAGON</v>
      </c>
      <c r="M119" s="7" t="str">
        <f>IF([1]All!$AJ120=0,"",[1]All!$AJ120)</f>
        <v xml:space="preserve">AATY </v>
      </c>
      <c r="N119" s="7" t="str">
        <f>IF([1]All!$R120=0,"",[1]All!$R120)</f>
        <v>5310</v>
      </c>
      <c r="O119" s="7" t="str">
        <f>IF([1]All!$S120=0,"",[1]All!$S120)</f>
        <v>011374829</v>
      </c>
      <c r="P119" s="7" t="str">
        <f>IF([1]All!$V120=0,"",[1]All!$V120)</f>
        <v>0000000006</v>
      </c>
      <c r="Q119" s="3" t="str">
        <f t="shared" si="11"/>
        <v>$0.06</v>
      </c>
      <c r="R119" s="8" t="str">
        <f>IF([1]All!$F120=0,"",[1]All!$F120)</f>
        <v>430-008</v>
      </c>
    </row>
    <row r="120" spans="1:18">
      <c r="A120" s="7"/>
      <c r="B120" s="3">
        <f t="shared" si="6"/>
        <v>69</v>
      </c>
      <c r="C120" s="3" t="str">
        <f t="shared" si="7"/>
        <v>E</v>
      </c>
      <c r="D120" s="9" t="str">
        <f t="shared" si="8"/>
        <v>DA731</v>
      </c>
      <c r="E120" s="3" t="str">
        <f t="shared" si="9"/>
        <v>AWJJ  DA731</v>
      </c>
      <c r="F120" s="10" t="str">
        <f t="shared" si="10"/>
        <v>PCCN: CRGARM:-:PLISN: AWJJ :-:PCC: TIT :-: CAGE: 0UJB5:-:PART NUMBER: DA731:-:NOMENCLATURE: NUT,SELF-LOCKING,HE:-:PRICE: $2.75:-:UNIQUE MODS: NO:-:PROPRIETARILY MFG FOR OEM: NO:-: :-: :-: :-:NSN: 5310015473981 :-: NHA: MIL-001-396 :-: NHA NSN: 3810015663870</v>
      </c>
      <c r="G120" s="8" t="str">
        <f>IF([1]All!$B121="","",[1]All!$B121)</f>
        <v xml:space="preserve">AWJJ </v>
      </c>
      <c r="H120" s="8"/>
      <c r="I120" s="8" t="str">
        <f>IF([1]All!$D121=0,"",[1]All!$D121)</f>
        <v>E</v>
      </c>
      <c r="J120" s="8" t="str">
        <f>IF([1]All!$E121=0,"",[1]All!$E121)</f>
        <v>0UJB5</v>
      </c>
      <c r="K120" s="8" t="s">
        <v>77</v>
      </c>
      <c r="L120" s="11" t="str">
        <f>IF([1]All!$L121=0,"",[1]All!$L121)</f>
        <v>NUT,SELF-LOCKING,HE</v>
      </c>
      <c r="M120" s="7" t="str">
        <f>IF([1]All!$AJ121=0,"",[1]All!$AJ121)</f>
        <v xml:space="preserve">AATY </v>
      </c>
      <c r="N120" s="7" t="str">
        <f>IF([1]All!$R121=0,"",[1]All!$R121)</f>
        <v>5310</v>
      </c>
      <c r="O120" s="7" t="str">
        <f>IF([1]All!$S121=0,"",[1]All!$S121)</f>
        <v>015473981</v>
      </c>
      <c r="P120" s="7" t="str">
        <f>IF([1]All!$V121=0,"",[1]All!$V121)</f>
        <v>0000000275</v>
      </c>
      <c r="Q120" s="3" t="str">
        <f t="shared" si="11"/>
        <v>$2.75</v>
      </c>
      <c r="R120" s="8" t="str">
        <f>IF([1]All!$F121=0,"",[1]All!$F121)</f>
        <v>DA731</v>
      </c>
    </row>
    <row r="121" spans="1:18">
      <c r="A121" s="7"/>
      <c r="B121" s="3">
        <f t="shared" si="6"/>
        <v>69</v>
      </c>
      <c r="C121" s="3" t="str">
        <f t="shared" si="7"/>
        <v>E</v>
      </c>
      <c r="D121" s="9" t="str">
        <f t="shared" si="8"/>
        <v>MIL-001-552</v>
      </c>
      <c r="E121" s="3" t="str">
        <f t="shared" si="9"/>
        <v>AWQE  MIL-001-552</v>
      </c>
      <c r="F121" s="10" t="str">
        <f t="shared" si="10"/>
        <v>PCCN: CRGARM:-:PLISN: AWQE :-:PCC: TIT :-: CAGE: 0UJB5:-:PART NUMBER: MIL-001-552:-:NOMENCLATURE: BUSHING,SLEEVE:-:PRICE: $64.80:-:UNIQUE MODS: NO:-:PROPRIETARILY MFG FOR OEM: NO:-: :-: :-: :-:NSN: 5365015696481 :-: NHA: MIL-001-396 :-: NHA NSN: 3810015663870</v>
      </c>
      <c r="G121" s="8" t="str">
        <f>IF([1]All!$B122="","",[1]All!$B122)</f>
        <v xml:space="preserve">AWQE </v>
      </c>
      <c r="H121" s="8"/>
      <c r="I121" s="8" t="str">
        <f>IF([1]All!$D122=0,"",[1]All!$D122)</f>
        <v>E</v>
      </c>
      <c r="J121" s="8" t="str">
        <f>IF([1]All!$E122=0,"",[1]All!$E122)</f>
        <v>0UJB5</v>
      </c>
      <c r="K121" s="8" t="s">
        <v>91</v>
      </c>
      <c r="L121" s="11" t="str">
        <f>IF([1]All!$L122=0,"",[1]All!$L122)</f>
        <v>BUSHING,SLEEVE</v>
      </c>
      <c r="M121" s="7" t="str">
        <f>IF([1]All!$AJ122=0,"",[1]All!$AJ122)</f>
        <v xml:space="preserve">AATY </v>
      </c>
      <c r="N121" s="7" t="str">
        <f>IF([1]All!$R122=0,"",[1]All!$R122)</f>
        <v>5365</v>
      </c>
      <c r="O121" s="7" t="str">
        <f>IF([1]All!$S122=0,"",[1]All!$S122)</f>
        <v>015696481</v>
      </c>
      <c r="P121" s="7" t="str">
        <f>IF([1]All!$V122=0,"",[1]All!$V122)</f>
        <v>0000006480</v>
      </c>
      <c r="Q121" s="3" t="str">
        <f t="shared" si="11"/>
        <v>$64.80</v>
      </c>
      <c r="R121" s="8" t="str">
        <f>IF([1]All!$F122=0,"",[1]All!$F122)</f>
        <v>MIL-001-552</v>
      </c>
    </row>
    <row r="122" spans="1:18">
      <c r="A122" s="7"/>
      <c r="B122" s="3">
        <f t="shared" si="6"/>
        <v>69</v>
      </c>
      <c r="C122" s="3" t="str">
        <f t="shared" si="7"/>
        <v>E</v>
      </c>
      <c r="D122" s="9" t="str">
        <f t="shared" si="8"/>
        <v>MIL-001-586</v>
      </c>
      <c r="E122" s="3" t="str">
        <f t="shared" si="9"/>
        <v>AWWA  MIL-001-586</v>
      </c>
      <c r="F122" s="10" t="str">
        <f t="shared" si="10"/>
        <v>PCCN: CRGARM:-:PLISN: AWWA :-:PCC: TIT :-: CAGE: 0UJB5:-:PART NUMBER: MIL-001-586:-:NOMENCLATURE: PIN,GROOVED,HEADLES:-:PRICE: $36.31:-:UNIQUE MODS: NO:-:PROPRIETARILY MFG FOR OEM: NO:-: :-: :-: :-:NSN: 5315015678279 :-: NHA: MIL-001-396 :-: NHA NSN: 3810015663870</v>
      </c>
      <c r="G122" s="8" t="str">
        <f>IF([1]All!$B123="","",[1]All!$B123)</f>
        <v xml:space="preserve">AWWA </v>
      </c>
      <c r="H122" s="8"/>
      <c r="I122" s="8" t="str">
        <f>IF([1]All!$D123=0,"",[1]All!$D123)</f>
        <v>E</v>
      </c>
      <c r="J122" s="8" t="str">
        <f>IF([1]All!$E123=0,"",[1]All!$E123)</f>
        <v>0UJB5</v>
      </c>
      <c r="K122" s="8" t="s">
        <v>92</v>
      </c>
      <c r="L122" s="11" t="str">
        <f>IF([1]All!$L123=0,"",[1]All!$L123)</f>
        <v>PIN,GROOVED,HEADLES</v>
      </c>
      <c r="M122" s="7" t="str">
        <f>IF([1]All!$AJ123=0,"",[1]All!$AJ123)</f>
        <v xml:space="preserve">AATY </v>
      </c>
      <c r="N122" s="7" t="str">
        <f>IF([1]All!$R123=0,"",[1]All!$R123)</f>
        <v>5315</v>
      </c>
      <c r="O122" s="7" t="str">
        <f>IF([1]All!$S123=0,"",[1]All!$S123)</f>
        <v>015678279</v>
      </c>
      <c r="P122" s="7" t="str">
        <f>IF([1]All!$V123=0,"",[1]All!$V123)</f>
        <v>0000003631</v>
      </c>
      <c r="Q122" s="3" t="str">
        <f t="shared" si="11"/>
        <v>$36.31</v>
      </c>
      <c r="R122" s="8" t="str">
        <f>IF([1]All!$F123=0,"",[1]All!$F123)</f>
        <v>MIL-001-586</v>
      </c>
    </row>
    <row r="123" spans="1:18">
      <c r="A123" s="7"/>
      <c r="B123" s="3">
        <f t="shared" si="6"/>
        <v>69</v>
      </c>
      <c r="C123" s="3" t="str">
        <f t="shared" si="7"/>
        <v>E</v>
      </c>
      <c r="D123" s="9" t="str">
        <f t="shared" si="8"/>
        <v>AS967</v>
      </c>
      <c r="E123" s="3" t="str">
        <f t="shared" si="9"/>
        <v>AW16  AS967</v>
      </c>
      <c r="F123" s="10" t="str">
        <f t="shared" si="10"/>
        <v>PCCN: CRGARM:-:PLISN: AW16 :-:PCC: TIT :-: CAGE: 0UJB5:-:PART NUMBER: AS967:-:NOMENCLATURE: RING,RETAINING:-:PRICE: $3.74:-:UNIQUE MODS: NO:-:PROPRIETARILY MFG FOR OEM: NO:-: :-: :-: :-:NSN: 5325015449601 :-: NHA: MIL-001-396 :-: NHA NSN: 3810015663870</v>
      </c>
      <c r="G123" s="8" t="str">
        <f>IF([1]All!$B124="","",[1]All!$B124)</f>
        <v xml:space="preserve">AW16 </v>
      </c>
      <c r="H123" s="8"/>
      <c r="I123" s="8" t="str">
        <f>IF([1]All!$D124=0,"",[1]All!$D124)</f>
        <v>E</v>
      </c>
      <c r="J123" s="8" t="str">
        <f>IF([1]All!$E124=0,"",[1]All!$E124)</f>
        <v>0UJB5</v>
      </c>
      <c r="K123" s="8" t="s">
        <v>93</v>
      </c>
      <c r="L123" s="11" t="str">
        <f>IF([1]All!$L124=0,"",[1]All!$L124)</f>
        <v>RING,RETAINING</v>
      </c>
      <c r="M123" s="7" t="str">
        <f>IF([1]All!$AJ124=0,"",[1]All!$AJ124)</f>
        <v xml:space="preserve">AATY </v>
      </c>
      <c r="N123" s="7" t="str">
        <f>IF([1]All!$R124=0,"",[1]All!$R124)</f>
        <v>5325</v>
      </c>
      <c r="O123" s="7" t="str">
        <f>IF([1]All!$S124=0,"",[1]All!$S124)</f>
        <v>015449601</v>
      </c>
      <c r="P123" s="7" t="str">
        <f>IF([1]All!$V124=0,"",[1]All!$V124)</f>
        <v>0000000374</v>
      </c>
      <c r="Q123" s="3" t="str">
        <f t="shared" si="11"/>
        <v>$3.74</v>
      </c>
      <c r="R123" s="8" t="str">
        <f>IF([1]All!$F124=0,"",[1]All!$F124)</f>
        <v>AS967</v>
      </c>
    </row>
    <row r="124" spans="1:18">
      <c r="A124" s="7"/>
      <c r="B124" s="3">
        <f t="shared" si="6"/>
        <v>69</v>
      </c>
      <c r="C124" s="3" t="str">
        <f t="shared" si="7"/>
        <v>E</v>
      </c>
      <c r="D124" s="9" t="str">
        <f t="shared" si="8"/>
        <v>MIL-001-584</v>
      </c>
      <c r="E124" s="3" t="str">
        <f t="shared" si="9"/>
        <v>AW72  MIL-001-584</v>
      </c>
      <c r="F124" s="10" t="str">
        <f t="shared" si="10"/>
        <v>PCCN: CRGARM:-:PLISN: AW72 :-:PCC: TIT :-: CAGE: 0UJB5:-:PART NUMBER: MIL-001-584:-:NOMENCLATURE: PIN,GROOVED,HEADLES:-:PRICE: $32.71:-:UNIQUE MODS: NO:-:PROPRIETARILY MFG FOR OEM: NO:-: :-: :-: :-:NSN: 5315015676784 :-: NHA: MIL-001-396 :-: NHA NSN: 3810015663870</v>
      </c>
      <c r="G124" s="8" t="str">
        <f>IF([1]All!$B125="","",[1]All!$B125)</f>
        <v xml:space="preserve">AW72 </v>
      </c>
      <c r="H124" s="8"/>
      <c r="I124" s="8" t="str">
        <f>IF([1]All!$D125=0,"",[1]All!$D125)</f>
        <v>E</v>
      </c>
      <c r="J124" s="8" t="str">
        <f>IF([1]All!$E125=0,"",[1]All!$E125)</f>
        <v>0UJB5</v>
      </c>
      <c r="K124" s="8" t="s">
        <v>94</v>
      </c>
      <c r="L124" s="11" t="str">
        <f>IF([1]All!$L125=0,"",[1]All!$L125)</f>
        <v>PIN,GROOVED,HEADLES</v>
      </c>
      <c r="M124" s="7" t="str">
        <f>IF([1]All!$AJ125=0,"",[1]All!$AJ125)</f>
        <v xml:space="preserve">AATY </v>
      </c>
      <c r="N124" s="7" t="str">
        <f>IF([1]All!$R125=0,"",[1]All!$R125)</f>
        <v>5315</v>
      </c>
      <c r="O124" s="7" t="str">
        <f>IF([1]All!$S125=0,"",[1]All!$S125)</f>
        <v>015676784</v>
      </c>
      <c r="P124" s="7" t="str">
        <f>IF([1]All!$V125=0,"",[1]All!$V125)</f>
        <v>0000003271</v>
      </c>
      <c r="Q124" s="3" t="str">
        <f t="shared" si="11"/>
        <v>$32.71</v>
      </c>
      <c r="R124" s="8" t="str">
        <f>IF([1]All!$F125=0,"",[1]All!$F125)</f>
        <v>MIL-001-584</v>
      </c>
    </row>
    <row r="125" spans="1:18">
      <c r="A125" s="7"/>
      <c r="B125" s="3">
        <f t="shared" si="6"/>
        <v>69</v>
      </c>
      <c r="C125" s="3" t="str">
        <f t="shared" si="7"/>
        <v>E</v>
      </c>
      <c r="D125" s="9" t="str">
        <f t="shared" si="8"/>
        <v>MIL-001-501</v>
      </c>
      <c r="E125" s="3" t="str">
        <f t="shared" si="9"/>
        <v>AXDY  MIL-001-501</v>
      </c>
      <c r="F125" s="10" t="str">
        <f t="shared" si="10"/>
        <v>PCCN: CRGARM:-:PLISN: AXDY :-:PCC: TIT :-: CAGE: 0UJB5:-:PART NUMBER: MIL-001-501:-:NOMENCLATURE: BRACKET,ANGLE:-:PRICE: $41.55:-:UNIQUE MODS: NO:-:PROPRIETARILY MFG FOR OEM: NO:-: :-: :-: :-:NSN: 5340015659524 :-: NHA: MIL-001-396 :-: NHA NSN: 3810015663870</v>
      </c>
      <c r="G125" s="8" t="str">
        <f>IF([1]All!$B126="","",[1]All!$B126)</f>
        <v xml:space="preserve">AXDY </v>
      </c>
      <c r="H125" s="8"/>
      <c r="I125" s="8" t="str">
        <f>IF([1]All!$D126=0,"",[1]All!$D126)</f>
        <v>E</v>
      </c>
      <c r="J125" s="8" t="str">
        <f>IF([1]All!$E126=0,"",[1]All!$E126)</f>
        <v>0UJB5</v>
      </c>
      <c r="K125" s="8" t="s">
        <v>95</v>
      </c>
      <c r="L125" s="11" t="str">
        <f>IF([1]All!$L126=0,"",[1]All!$L126)</f>
        <v>BRACKET,ANGLE</v>
      </c>
      <c r="M125" s="7" t="str">
        <f>IF([1]All!$AJ126=0,"",[1]All!$AJ126)</f>
        <v xml:space="preserve">AATY </v>
      </c>
      <c r="N125" s="7" t="str">
        <f>IF([1]All!$R126=0,"",[1]All!$R126)</f>
        <v>5340</v>
      </c>
      <c r="O125" s="7" t="str">
        <f>IF([1]All!$S126=0,"",[1]All!$S126)</f>
        <v>015659524</v>
      </c>
      <c r="P125" s="7" t="str">
        <f>IF([1]All!$V126=0,"",[1]All!$V126)</f>
        <v>0000004155</v>
      </c>
      <c r="Q125" s="3" t="str">
        <f t="shared" si="11"/>
        <v>$41.55</v>
      </c>
      <c r="R125" s="8" t="str">
        <f>IF([1]All!$F126=0,"",[1]All!$F126)</f>
        <v>MIL-001-501</v>
      </c>
    </row>
    <row r="126" spans="1:18">
      <c r="A126" s="7"/>
      <c r="B126" s="3">
        <f t="shared" si="6"/>
        <v>69</v>
      </c>
      <c r="C126" s="3" t="str">
        <f t="shared" si="7"/>
        <v>E</v>
      </c>
      <c r="D126" s="9" t="str">
        <f t="shared" si="8"/>
        <v>MIL-001-595</v>
      </c>
      <c r="E126" s="3" t="str">
        <f t="shared" si="9"/>
        <v>AXKU  MIL-001-595</v>
      </c>
      <c r="F126" s="10" t="str">
        <f t="shared" si="10"/>
        <v>PCCN: CRGARM:-:PLISN: AXKU :-:PCC: TIT :-: CAGE: 0UJB5:-:PART NUMBER: MIL-001-595:-:NOMENCLATURE: SCREW,CAP,SOCKET HE:-:PRICE: $0.47:-:UNIQUE MODS: NO:-:PROPRIETARILY MFG FOR OEM: NO:-: :-: :-: :-:NSN: 5305015676753 :-: NHA: MIL-001-396 :-: NHA NSN: 3810015663870</v>
      </c>
      <c r="G126" s="8" t="str">
        <f>IF([1]All!$B127="","",[1]All!$B127)</f>
        <v xml:space="preserve">AXKU </v>
      </c>
      <c r="H126" s="8"/>
      <c r="I126" s="8" t="str">
        <f>IF([1]All!$D127=0,"",[1]All!$D127)</f>
        <v>E</v>
      </c>
      <c r="J126" s="8" t="str">
        <f>IF([1]All!$E127=0,"",[1]All!$E127)</f>
        <v>0UJB5</v>
      </c>
      <c r="K126" s="8" t="s">
        <v>96</v>
      </c>
      <c r="L126" s="11" t="str">
        <f>IF([1]All!$L127=0,"",[1]All!$L127)</f>
        <v>SCREW,CAP,SOCKET HE</v>
      </c>
      <c r="M126" s="7" t="str">
        <f>IF([1]All!$AJ127=0,"",[1]All!$AJ127)</f>
        <v xml:space="preserve">AATY </v>
      </c>
      <c r="N126" s="7" t="str">
        <f>IF([1]All!$R127=0,"",[1]All!$R127)</f>
        <v>5305</v>
      </c>
      <c r="O126" s="7" t="str">
        <f>IF([1]All!$S127=0,"",[1]All!$S127)</f>
        <v>015676753</v>
      </c>
      <c r="P126" s="7" t="str">
        <f>IF([1]All!$V127=0,"",[1]All!$V127)</f>
        <v>0000000047</v>
      </c>
      <c r="Q126" s="3" t="str">
        <f t="shared" si="11"/>
        <v>$0.47</v>
      </c>
      <c r="R126" s="8" t="str">
        <f>IF([1]All!$F127=0,"",[1]All!$F127)</f>
        <v>MIL-001-595</v>
      </c>
    </row>
    <row r="127" spans="1:18">
      <c r="A127" s="7"/>
      <c r="B127" s="3">
        <f t="shared" si="6"/>
        <v>69</v>
      </c>
      <c r="C127" s="3" t="str">
        <f t="shared" si="7"/>
        <v>E</v>
      </c>
      <c r="D127" s="9" t="str">
        <f t="shared" si="8"/>
        <v>MIL-001-596</v>
      </c>
      <c r="E127" s="3" t="str">
        <f t="shared" si="9"/>
        <v>AXRQ  MIL-001-596</v>
      </c>
      <c r="F127" s="10" t="str">
        <f t="shared" si="10"/>
        <v>PCCN: CRGARM:-:PLISN: AXRQ :-:PCC: TIT :-: CAGE: 0UJB5:-:PART NUMBER: MIL-001-596:-:NOMENCLATURE: WASHER,LOCK:-:PRICE: $0.28:-:UNIQUE MODS: NO:-:PROPRIETARILY MFG FOR OEM: NO:-: :-: :-: :-:NSN: 5310015657236 :-: NHA: MIL-001-396 :-: NHA NSN: 3810015663870</v>
      </c>
      <c r="G127" s="8" t="str">
        <f>IF([1]All!$B128="","",[1]All!$B128)</f>
        <v xml:space="preserve">AXRQ </v>
      </c>
      <c r="H127" s="8"/>
      <c r="I127" s="8" t="str">
        <f>IF([1]All!$D128=0,"",[1]All!$D128)</f>
        <v>E</v>
      </c>
      <c r="J127" s="8" t="str">
        <f>IF([1]All!$E128=0,"",[1]All!$E128)</f>
        <v>0UJB5</v>
      </c>
      <c r="K127" s="8" t="s">
        <v>97</v>
      </c>
      <c r="L127" s="11" t="str">
        <f>IF([1]All!$L128=0,"",[1]All!$L128)</f>
        <v>WASHER,LOCK</v>
      </c>
      <c r="M127" s="7" t="str">
        <f>IF([1]All!$AJ128=0,"",[1]All!$AJ128)</f>
        <v xml:space="preserve">AATY </v>
      </c>
      <c r="N127" s="7" t="str">
        <f>IF([1]All!$R128=0,"",[1]All!$R128)</f>
        <v>5310</v>
      </c>
      <c r="O127" s="7" t="str">
        <f>IF([1]All!$S128=0,"",[1]All!$S128)</f>
        <v>015657236</v>
      </c>
      <c r="P127" s="7" t="str">
        <f>IF([1]All!$V128=0,"",[1]All!$V128)</f>
        <v>0000000028</v>
      </c>
      <c r="Q127" s="3" t="str">
        <f t="shared" si="11"/>
        <v>$0.28</v>
      </c>
      <c r="R127" s="8" t="str">
        <f>IF([1]All!$F128=0,"",[1]All!$F128)</f>
        <v>MIL-001-596</v>
      </c>
    </row>
    <row r="128" spans="1:18">
      <c r="A128" s="7"/>
      <c r="B128" s="3">
        <f t="shared" si="6"/>
        <v>69</v>
      </c>
      <c r="C128" s="3" t="str">
        <f t="shared" si="7"/>
        <v>E</v>
      </c>
      <c r="D128" s="9" t="str">
        <f t="shared" si="8"/>
        <v>MIL-001-1020</v>
      </c>
      <c r="E128" s="3" t="str">
        <f t="shared" si="9"/>
        <v>AX3G  MIL-001-1020</v>
      </c>
      <c r="F128" s="10" t="str">
        <f t="shared" si="10"/>
        <v>PCCN: CRGARM:-:PLISN: AX3G :-:PCC: TIT :-: CAGE: 0UJB5:-:PART NUMBER: MIL-001-1020:-:NOMENCLATURE: BRACKET,SUPPORT:-:PRICE: $1703.25:-:UNIQUE MODS: NO:-:PROPRIETARILY MFG FOR OEM: NO:-: :-: :-: :-: :-: NHA: MIL-001-396 :-: NHA NSN: 3810015663870</v>
      </c>
      <c r="G128" s="8" t="str">
        <f>IF([1]All!$B129="","",[1]All!$B129)</f>
        <v xml:space="preserve">AX3G </v>
      </c>
      <c r="H128" s="8"/>
      <c r="I128" s="8" t="str">
        <f>IF([1]All!$D129=0,"",[1]All!$D129)</f>
        <v>E</v>
      </c>
      <c r="J128" s="8" t="str">
        <f>IF([1]All!$E129=0,"",[1]All!$E129)</f>
        <v>0UJB5</v>
      </c>
      <c r="K128" s="8" t="s">
        <v>98</v>
      </c>
      <c r="L128" s="11" t="str">
        <f>IF([1]All!$L129=0,"",[1]All!$L129)</f>
        <v>BRACKET,SUPPORT</v>
      </c>
      <c r="M128" s="7" t="str">
        <f>IF([1]All!$AJ129=0,"",[1]All!$AJ129)</f>
        <v xml:space="preserve">AATY </v>
      </c>
      <c r="N128" s="7" t="str">
        <f>IF([1]All!$R129=0,"",[1]All!$R129)</f>
        <v/>
      </c>
      <c r="O128" s="7" t="str">
        <f>IF([1]All!$S129=0,"",[1]All!$S129)</f>
        <v/>
      </c>
      <c r="P128" s="7" t="str">
        <f>IF([1]All!$V129=0,"",[1]All!$V129)</f>
        <v>0000170325</v>
      </c>
      <c r="Q128" s="3" t="str">
        <f t="shared" si="11"/>
        <v>$1703.25</v>
      </c>
      <c r="R128" s="8" t="str">
        <f>IF([1]All!$F129=0,"",[1]All!$F129)</f>
        <v>MIL-001-1020</v>
      </c>
    </row>
    <row r="129" spans="1:18">
      <c r="A129" s="7"/>
      <c r="B129" s="3">
        <f t="shared" si="6"/>
        <v>69</v>
      </c>
      <c r="C129" s="3" t="str">
        <f t="shared" si="7"/>
        <v>E</v>
      </c>
      <c r="D129" s="9" t="str">
        <f t="shared" si="8"/>
        <v>MIL-001-1021</v>
      </c>
      <c r="E129" s="3" t="str">
        <f t="shared" si="9"/>
        <v>AX9C  MIL-001-1021</v>
      </c>
      <c r="F129" s="10" t="str">
        <f t="shared" si="10"/>
        <v>PCCN: CRGARM:-:PLISN: AX9C :-:PCC: TIT :-: CAGE: 0UJB5:-:PART NUMBER: MIL-001-1021:-:NOMENCLATURE: BUSHING,SLEEVE:-:PRICE: $37.26:-:UNIQUE MODS: NO:-:PROPRIETARILY MFG FOR OEM: NO:-: :-: :-: :-: :-: NHA: MIL-001-396 :-: NHA NSN: 3810015663870</v>
      </c>
      <c r="G129" s="8" t="str">
        <f>IF([1]All!$B130="","",[1]All!$B130)</f>
        <v xml:space="preserve">AX9C </v>
      </c>
      <c r="H129" s="8"/>
      <c r="I129" s="8" t="str">
        <f>IF([1]All!$D130=0,"",[1]All!$D130)</f>
        <v>E</v>
      </c>
      <c r="J129" s="8" t="str">
        <f>IF([1]All!$E130=0,"",[1]All!$E130)</f>
        <v>0UJB5</v>
      </c>
      <c r="K129" s="8" t="s">
        <v>99</v>
      </c>
      <c r="L129" s="11" t="str">
        <f>IF([1]All!$L130=0,"",[1]All!$L130)</f>
        <v>BUSHING,SLEEVE</v>
      </c>
      <c r="M129" s="7" t="str">
        <f>IF([1]All!$AJ130=0,"",[1]All!$AJ130)</f>
        <v xml:space="preserve">AATY </v>
      </c>
      <c r="N129" s="7" t="str">
        <f>IF([1]All!$R130=0,"",[1]All!$R130)</f>
        <v/>
      </c>
      <c r="O129" s="7" t="str">
        <f>IF([1]All!$S130=0,"",[1]All!$S130)</f>
        <v/>
      </c>
      <c r="P129" s="7" t="str">
        <f>IF([1]All!$V130=0,"",[1]All!$V130)</f>
        <v>0000003726</v>
      </c>
      <c r="Q129" s="3" t="str">
        <f t="shared" si="11"/>
        <v>$37.26</v>
      </c>
      <c r="R129" s="8" t="str">
        <f>IF([1]All!$F130=0,"",[1]All!$F130)</f>
        <v>MIL-001-1021</v>
      </c>
    </row>
    <row r="130" spans="1:18">
      <c r="A130" s="7"/>
      <c r="B130" s="3">
        <f t="shared" ref="B130:B193" si="12">IF(C130="","",CODE(C130))</f>
        <v>69</v>
      </c>
      <c r="C130" s="3" t="str">
        <f t="shared" si="7"/>
        <v>E</v>
      </c>
      <c r="D130" s="9" t="str">
        <f t="shared" si="8"/>
        <v>MIL-001-1022</v>
      </c>
      <c r="E130" s="3" t="str">
        <f t="shared" si="9"/>
        <v>AYE8  MIL-001-1022</v>
      </c>
      <c r="F130" s="10" t="str">
        <f t="shared" si="10"/>
        <v>PCCN: CRGARM:-:PLISN: AYE8 :-:PCC: TIT :-: CAGE: 0UJB5:-:PART NUMBER: MIL-001-1022:-:NOMENCLATURE: BUSHING,SLEEVE:-:PRICE: $9.25:-:UNIQUE MODS: NO:-:PROPRIETARILY MFG FOR OEM: NO:-: :-: :-: :-: :-: NHA: MIL-001-396 :-: NHA NSN: 3810015663870</v>
      </c>
      <c r="G130" s="8" t="str">
        <f>IF([1]All!$B131="","",[1]All!$B131)</f>
        <v xml:space="preserve">AYE8 </v>
      </c>
      <c r="H130" s="8"/>
      <c r="I130" s="8" t="str">
        <f>IF([1]All!$D131=0,"",[1]All!$D131)</f>
        <v>E</v>
      </c>
      <c r="J130" s="8" t="str">
        <f>IF([1]All!$E131=0,"",[1]All!$E131)</f>
        <v>0UJB5</v>
      </c>
      <c r="K130" s="8" t="s">
        <v>100</v>
      </c>
      <c r="L130" s="11" t="str">
        <f>IF([1]All!$L131=0,"",[1]All!$L131)</f>
        <v>BUSHING,SLEEVE</v>
      </c>
      <c r="M130" s="7" t="str">
        <f>IF([1]All!$AJ131=0,"",[1]All!$AJ131)</f>
        <v xml:space="preserve">AATY </v>
      </c>
      <c r="N130" s="7" t="str">
        <f>IF([1]All!$R131=0,"",[1]All!$R131)</f>
        <v/>
      </c>
      <c r="O130" s="7" t="str">
        <f>IF([1]All!$S131=0,"",[1]All!$S131)</f>
        <v/>
      </c>
      <c r="P130" s="7" t="str">
        <f>IF([1]All!$V131=0,"",[1]All!$V131)</f>
        <v>0000000925</v>
      </c>
      <c r="Q130" s="3" t="str">
        <f t="shared" si="11"/>
        <v>$9.25</v>
      </c>
      <c r="R130" s="8" t="str">
        <f>IF([1]All!$F131=0,"",[1]All!$F131)</f>
        <v>MIL-001-1022</v>
      </c>
    </row>
    <row r="131" spans="1:18">
      <c r="A131" s="7"/>
      <c r="B131" s="3">
        <f t="shared" si="12"/>
        <v>69</v>
      </c>
      <c r="C131" s="3" t="str">
        <f t="shared" ref="C131:C194" si="13">I131</f>
        <v>E</v>
      </c>
      <c r="D131" s="9" t="str">
        <f t="shared" ref="D131:D194" si="14">K131</f>
        <v>MIL-001-1023</v>
      </c>
      <c r="E131" s="3" t="str">
        <f t="shared" ref="E131:E194" si="15">G131&amp;" "&amp;D131</f>
        <v>AYL4  MIL-001-1023</v>
      </c>
      <c r="F131" s="10" t="str">
        <f t="shared" ref="F131:F194" si="16">$A$2&amp;":-:"&amp;"PLISN: "&amp;$G131&amp;":-:"&amp;$A$4&amp;" :-: "&amp;"CAGE: "&amp;J131&amp;":-:"&amp;"PART NUMBER: " &amp; R131&amp;":-:NOMENCLATURE: "&amp;L131&amp;":-:PRICE: " &amp; Q131&amp;":-:"&amp;$A$9&amp;":-:"&amp;$A$10&amp;":-: :-: :-: :-:"&amp;IF(N131="","","NSN: "&amp;N131&amp;O131)&amp;IF(M131="",""," :-: NHA: "&amp;VLOOKUP(M131,G$2:L$65000,5,FALSE)&amp;IF(VLOOKUP(M131,G$2:O$65000,8,FALSE)="",""," :-: NHA NSN: "&amp;VLOOKUP(M131,G$2:O$65000,8,FALSE)&amp;VLOOKUP(M131,G$2:O$65000,9,FALSE)))</f>
        <v>PCCN: CRGARM:-:PLISN: AYL4 :-:PCC: TIT :-: CAGE: 0UJB5:-:PART NUMBER: MIL-001-1023:-:NOMENCLATURE: BUSHING,SLEEVE:-:PRICE: $3.72:-:UNIQUE MODS: NO:-:PROPRIETARILY MFG FOR OEM: NO:-: :-: :-: :-: :-: NHA: MIL-001-396 :-: NHA NSN: 3810015663870</v>
      </c>
      <c r="G131" s="8" t="str">
        <f>IF([1]All!$B132="","",[1]All!$B132)</f>
        <v xml:space="preserve">AYL4 </v>
      </c>
      <c r="H131" s="8"/>
      <c r="I131" s="8" t="str">
        <f>IF([1]All!$D132=0,"",[1]All!$D132)</f>
        <v>E</v>
      </c>
      <c r="J131" s="8" t="str">
        <f>IF([1]All!$E132=0,"",[1]All!$E132)</f>
        <v>0UJB5</v>
      </c>
      <c r="K131" s="8" t="s">
        <v>101</v>
      </c>
      <c r="L131" s="11" t="str">
        <f>IF([1]All!$L132=0,"",[1]All!$L132)</f>
        <v>BUSHING,SLEEVE</v>
      </c>
      <c r="M131" s="7" t="str">
        <f>IF([1]All!$AJ132=0,"",[1]All!$AJ132)</f>
        <v xml:space="preserve">AATY </v>
      </c>
      <c r="N131" s="7" t="str">
        <f>IF([1]All!$R132=0,"",[1]All!$R132)</f>
        <v/>
      </c>
      <c r="O131" s="7" t="str">
        <f>IF([1]All!$S132=0,"",[1]All!$S132)</f>
        <v/>
      </c>
      <c r="P131" s="7" t="str">
        <f>IF([1]All!$V132=0,"",[1]All!$V132)</f>
        <v>0000000372</v>
      </c>
      <c r="Q131" s="3" t="str">
        <f t="shared" ref="Q131:Q194" si="17">IF(ISERROR(FIND(".",P131*0.01)),"$"&amp;P131*0.01&amp;".00",IF(FIND(".",P131*0.01)&lt;LEN(P131*0.01)-1,"$"&amp;P131*0.01,"$"&amp;P131*0.01&amp;"0"))</f>
        <v>$3.72</v>
      </c>
      <c r="R131" s="8" t="str">
        <f>IF([1]All!$F132=0,"",[1]All!$F132)</f>
        <v>MIL-001-1023</v>
      </c>
    </row>
    <row r="132" spans="1:18">
      <c r="A132" s="7"/>
      <c r="B132" s="3">
        <f t="shared" si="12"/>
        <v>69</v>
      </c>
      <c r="C132" s="3" t="str">
        <f t="shared" si="13"/>
        <v>E</v>
      </c>
      <c r="D132" s="9" t="str">
        <f t="shared" si="14"/>
        <v>IN845</v>
      </c>
      <c r="E132" s="3" t="str">
        <f t="shared" si="15"/>
        <v>AYS0  IN845</v>
      </c>
      <c r="F132" s="10" t="str">
        <f t="shared" si="16"/>
        <v>PCCN: CRGARM:-:PLISN: AYS0 :-:PCC: TIT :-: CAGE: 0UJB5:-:PART NUMBER: IN845:-:NOMENCLATURE: FITTING,LUBRICATION:-:PRICE: $3.44:-:UNIQUE MODS: NO:-:PROPRIETARILY MFG FOR OEM: NO:-: :-: :-: :-:NSN: 4730015474478 :-: NHA: MIL-001-396 :-: NHA NSN: 3810015663870</v>
      </c>
      <c r="G132" s="8" t="str">
        <f>IF([1]All!$B133="","",[1]All!$B133)</f>
        <v xml:space="preserve">AYS0 </v>
      </c>
      <c r="H132" s="8"/>
      <c r="I132" s="8" t="str">
        <f>IF([1]All!$D133=0,"",[1]All!$D133)</f>
        <v>E</v>
      </c>
      <c r="J132" s="8" t="str">
        <f>IF([1]All!$E133=0,"",[1]All!$E133)</f>
        <v>0UJB5</v>
      </c>
      <c r="K132" s="8" t="s">
        <v>36</v>
      </c>
      <c r="L132" s="11" t="str">
        <f>IF([1]All!$L133=0,"",[1]All!$L133)</f>
        <v>FITTING,LUBRICATION</v>
      </c>
      <c r="M132" s="7" t="str">
        <f>IF([1]All!$AJ133=0,"",[1]All!$AJ133)</f>
        <v xml:space="preserve">AATY </v>
      </c>
      <c r="N132" s="7" t="str">
        <f>IF([1]All!$R133=0,"",[1]All!$R133)</f>
        <v>4730</v>
      </c>
      <c r="O132" s="7" t="str">
        <f>IF([1]All!$S133=0,"",[1]All!$S133)</f>
        <v>015474478</v>
      </c>
      <c r="P132" s="7" t="str">
        <f>IF([1]All!$V133=0,"",[1]All!$V133)</f>
        <v>0000000344</v>
      </c>
      <c r="Q132" s="3" t="str">
        <f t="shared" si="17"/>
        <v>$3.44</v>
      </c>
      <c r="R132" s="8" t="str">
        <f>IF([1]All!$F133=0,"",[1]All!$F133)</f>
        <v>IN845</v>
      </c>
    </row>
    <row r="133" spans="1:18">
      <c r="A133" s="7"/>
      <c r="B133" s="3">
        <f t="shared" si="12"/>
        <v>69</v>
      </c>
      <c r="C133" s="3" t="str">
        <f t="shared" si="13"/>
        <v>E</v>
      </c>
      <c r="D133" s="9" t="str">
        <f t="shared" si="14"/>
        <v>MIL-001-1024</v>
      </c>
      <c r="E133" s="3" t="str">
        <f t="shared" si="15"/>
        <v>AYYW  MIL-001-1024</v>
      </c>
      <c r="F133" s="10" t="str">
        <f t="shared" si="16"/>
        <v>PCCN: CRGARM:-:PLISN: AYYW :-:PCC: TIT :-: CAGE: 0UJB5:-:PART NUMBER: MIL-001-1024:-:NOMENCLATURE: PIPE,METALLIC:-:PRICE: $135.04:-:UNIQUE MODS: NO:-:PROPRIETARILY MFG FOR OEM: NO:-: :-: :-: :-: :-: NHA: MIL-001-396 :-: NHA NSN: 3810015663870</v>
      </c>
      <c r="G133" s="8" t="str">
        <f>IF([1]All!$B134="","",[1]All!$B134)</f>
        <v xml:space="preserve">AYYW </v>
      </c>
      <c r="H133" s="8"/>
      <c r="I133" s="8" t="str">
        <f>IF([1]All!$D134=0,"",[1]All!$D134)</f>
        <v>E</v>
      </c>
      <c r="J133" s="8" t="str">
        <f>IF([1]All!$E134=0,"",[1]All!$E134)</f>
        <v>0UJB5</v>
      </c>
      <c r="K133" s="8" t="s">
        <v>102</v>
      </c>
      <c r="L133" s="11" t="str">
        <f>IF([1]All!$L134=0,"",[1]All!$L134)</f>
        <v>PIPE,METALLIC</v>
      </c>
      <c r="M133" s="7" t="str">
        <f>IF([1]All!$AJ134=0,"",[1]All!$AJ134)</f>
        <v xml:space="preserve">AATY </v>
      </c>
      <c r="N133" s="7" t="str">
        <f>IF([1]All!$R134=0,"",[1]All!$R134)</f>
        <v/>
      </c>
      <c r="O133" s="7" t="str">
        <f>IF([1]All!$S134=0,"",[1]All!$S134)</f>
        <v/>
      </c>
      <c r="P133" s="7" t="str">
        <f>IF([1]All!$V134=0,"",[1]All!$V134)</f>
        <v>0000013504</v>
      </c>
      <c r="Q133" s="3" t="str">
        <f t="shared" si="17"/>
        <v>$135.04</v>
      </c>
      <c r="R133" s="8" t="str">
        <f>IF([1]All!$F134=0,"",[1]All!$F134)</f>
        <v>MIL-001-1024</v>
      </c>
    </row>
    <row r="134" spans="1:18">
      <c r="A134" s="7"/>
      <c r="B134" s="3">
        <f t="shared" si="12"/>
        <v>69</v>
      </c>
      <c r="C134" s="3" t="str">
        <f t="shared" si="13"/>
        <v>E</v>
      </c>
      <c r="D134" s="9" t="str">
        <f t="shared" si="14"/>
        <v>MIL-001-1025</v>
      </c>
      <c r="E134" s="3" t="str">
        <f t="shared" si="15"/>
        <v>AY4S  MIL-001-1025</v>
      </c>
      <c r="F134" s="10" t="str">
        <f t="shared" si="16"/>
        <v>PCCN: CRGARM:-:PLISN: AY4S :-:PCC: TIT :-: CAGE: 0UJB5:-:PART NUMBER: MIL-001-1025:-:NOMENCLATURE: BRACKET,SUPPORT:-:PRICE: $3546.41:-:UNIQUE MODS: NO:-:PROPRIETARILY MFG FOR OEM: NO:-: :-: :-: :-: :-: NHA: MIL-001-396 :-: NHA NSN: 3810015663870</v>
      </c>
      <c r="G134" s="8" t="str">
        <f>IF([1]All!$B135="","",[1]All!$B135)</f>
        <v xml:space="preserve">AY4S </v>
      </c>
      <c r="H134" s="8"/>
      <c r="I134" s="8" t="str">
        <f>IF([1]All!$D135=0,"",[1]All!$D135)</f>
        <v>E</v>
      </c>
      <c r="J134" s="8" t="str">
        <f>IF([1]All!$E135=0,"",[1]All!$E135)</f>
        <v>0UJB5</v>
      </c>
      <c r="K134" s="8" t="s">
        <v>103</v>
      </c>
      <c r="L134" s="11" t="str">
        <f>IF([1]All!$L135=0,"",[1]All!$L135)</f>
        <v>BRACKET,SUPPORT</v>
      </c>
      <c r="M134" s="7" t="str">
        <f>IF([1]All!$AJ135=0,"",[1]All!$AJ135)</f>
        <v xml:space="preserve">AATY </v>
      </c>
      <c r="N134" s="7" t="str">
        <f>IF([1]All!$R135=0,"",[1]All!$R135)</f>
        <v/>
      </c>
      <c r="O134" s="7" t="str">
        <f>IF([1]All!$S135=0,"",[1]All!$S135)</f>
        <v/>
      </c>
      <c r="P134" s="7" t="str">
        <f>IF([1]All!$V135=0,"",[1]All!$V135)</f>
        <v>0000354641</v>
      </c>
      <c r="Q134" s="3" t="str">
        <f t="shared" si="17"/>
        <v>$3546.41</v>
      </c>
      <c r="R134" s="8" t="str">
        <f>IF([1]All!$F135=0,"",[1]All!$F135)</f>
        <v>MIL-001-1025</v>
      </c>
    </row>
    <row r="135" spans="1:18">
      <c r="A135" s="7"/>
      <c r="B135" s="3">
        <f t="shared" si="12"/>
        <v>69</v>
      </c>
      <c r="C135" s="3" t="str">
        <f t="shared" si="13"/>
        <v>E</v>
      </c>
      <c r="D135" s="9" t="str">
        <f t="shared" si="14"/>
        <v>MIL-001-1026</v>
      </c>
      <c r="E135" s="3" t="str">
        <f t="shared" si="15"/>
        <v>AZAN  MIL-001-1026</v>
      </c>
      <c r="F135" s="10" t="str">
        <f t="shared" si="16"/>
        <v>PCCN: CRGARM:-:PLISN: AZAN :-:PCC: TIT :-: CAGE: 0UJB5:-:PART NUMBER: MIL-001-1026:-:NOMENCLATURE: BUSHING,SLEEVE:-:PRICE: $2.77:-:UNIQUE MODS: NO:-:PROPRIETARILY MFG FOR OEM: NO:-: :-: :-: :-: :-: NHA: MIL-001-396 :-: NHA NSN: 3810015663870</v>
      </c>
      <c r="G135" s="8" t="str">
        <f>IF([1]All!$B136="","",[1]All!$B136)</f>
        <v xml:space="preserve">AZAN </v>
      </c>
      <c r="H135" s="8"/>
      <c r="I135" s="8" t="str">
        <f>IF([1]All!$D136=0,"",[1]All!$D136)</f>
        <v>E</v>
      </c>
      <c r="J135" s="8" t="str">
        <f>IF([1]All!$E136=0,"",[1]All!$E136)</f>
        <v>0UJB5</v>
      </c>
      <c r="K135" s="8" t="s">
        <v>104</v>
      </c>
      <c r="L135" s="11" t="str">
        <f>IF([1]All!$L136=0,"",[1]All!$L136)</f>
        <v>BUSHING,SLEEVE</v>
      </c>
      <c r="M135" s="7" t="str">
        <f>IF([1]All!$AJ136=0,"",[1]All!$AJ136)</f>
        <v xml:space="preserve">AATY </v>
      </c>
      <c r="N135" s="7" t="str">
        <f>IF([1]All!$R136=0,"",[1]All!$R136)</f>
        <v/>
      </c>
      <c r="O135" s="7" t="str">
        <f>IF([1]All!$S136=0,"",[1]All!$S136)</f>
        <v/>
      </c>
      <c r="P135" s="7" t="str">
        <f>IF([1]All!$V136=0,"",[1]All!$V136)</f>
        <v>0000000277</v>
      </c>
      <c r="Q135" s="3" t="str">
        <f t="shared" si="17"/>
        <v>$2.77</v>
      </c>
      <c r="R135" s="8" t="str">
        <f>IF([1]All!$F136=0,"",[1]All!$F136)</f>
        <v>MIL-001-1026</v>
      </c>
    </row>
    <row r="136" spans="1:18">
      <c r="A136" s="7"/>
      <c r="B136" s="3">
        <f t="shared" si="12"/>
        <v>69</v>
      </c>
      <c r="C136" s="3" t="str">
        <f t="shared" si="13"/>
        <v>E</v>
      </c>
      <c r="D136" s="9" t="str">
        <f t="shared" si="14"/>
        <v>MIL-001-1027</v>
      </c>
      <c r="E136" s="3" t="str">
        <f t="shared" si="15"/>
        <v>AZGJ  MIL-001-1027</v>
      </c>
      <c r="F136" s="10" t="str">
        <f t="shared" si="16"/>
        <v>PCCN: CRGARM:-:PLISN: AZGJ :-:PCC: TIT :-: CAGE: 0UJB5:-:PART NUMBER: MIL-001-1027:-:NOMENCLATURE: SPACER:-:PRICE: $95.70:-:UNIQUE MODS: NO:-:PROPRIETARILY MFG FOR OEM: NO:-: :-: :-: :-: :-: NHA: MIL-001-396 :-: NHA NSN: 3810015663870</v>
      </c>
      <c r="G136" s="8" t="str">
        <f>IF([1]All!$B137="","",[1]All!$B137)</f>
        <v xml:space="preserve">AZGJ </v>
      </c>
      <c r="H136" s="8"/>
      <c r="I136" s="8" t="str">
        <f>IF([1]All!$D137=0,"",[1]All!$D137)</f>
        <v>E</v>
      </c>
      <c r="J136" s="8" t="str">
        <f>IF([1]All!$E137=0,"",[1]All!$E137)</f>
        <v>0UJB5</v>
      </c>
      <c r="K136" s="8" t="s">
        <v>105</v>
      </c>
      <c r="L136" s="11" t="str">
        <f>IF([1]All!$L137=0,"",[1]All!$L137)</f>
        <v>SPACER</v>
      </c>
      <c r="M136" s="7" t="str">
        <f>IF([1]All!$AJ137=0,"",[1]All!$AJ137)</f>
        <v xml:space="preserve">AATY </v>
      </c>
      <c r="N136" s="7" t="str">
        <f>IF([1]All!$R137=0,"",[1]All!$R137)</f>
        <v/>
      </c>
      <c r="O136" s="7" t="str">
        <f>IF([1]All!$S137=0,"",[1]All!$S137)</f>
        <v/>
      </c>
      <c r="P136" s="7" t="str">
        <f>IF([1]All!$V137=0,"",[1]All!$V137)</f>
        <v>0000009570</v>
      </c>
      <c r="Q136" s="3" t="str">
        <f t="shared" si="17"/>
        <v>$95.70</v>
      </c>
      <c r="R136" s="8" t="str">
        <f>IF([1]All!$F137=0,"",[1]All!$F137)</f>
        <v>MIL-001-1027</v>
      </c>
    </row>
    <row r="137" spans="1:18">
      <c r="A137" s="7"/>
      <c r="B137" s="3">
        <f t="shared" si="12"/>
        <v>69</v>
      </c>
      <c r="C137" s="3" t="str">
        <f t="shared" si="13"/>
        <v>E</v>
      </c>
      <c r="D137" s="9" t="str">
        <f t="shared" si="14"/>
        <v>MIL-001-1028</v>
      </c>
      <c r="E137" s="3" t="str">
        <f t="shared" si="15"/>
        <v>AZNE  MIL-001-1028</v>
      </c>
      <c r="F137" s="10" t="str">
        <f t="shared" si="16"/>
        <v>PCCN: CRGARM:-:PLISN: AZNE :-:PCC: TIT :-: CAGE: 0UJB5:-:PART NUMBER: MIL-001-1028:-:NOMENCLATURE: O-RING:-:PRICE: $4.17:-:UNIQUE MODS: NO:-:PROPRIETARILY MFG FOR OEM: NO:-: :-: :-: :-: :-: NHA: MIL-001-396 :-: NHA NSN: 3810015663870</v>
      </c>
      <c r="G137" s="8" t="str">
        <f>IF([1]All!$B138="","",[1]All!$B138)</f>
        <v xml:space="preserve">AZNE </v>
      </c>
      <c r="H137" s="8"/>
      <c r="I137" s="8" t="str">
        <f>IF([1]All!$D138=0,"",[1]All!$D138)</f>
        <v>E</v>
      </c>
      <c r="J137" s="8" t="str">
        <f>IF([1]All!$E138=0,"",[1]All!$E138)</f>
        <v>0UJB5</v>
      </c>
      <c r="K137" s="8" t="s">
        <v>106</v>
      </c>
      <c r="L137" s="11" t="str">
        <f>IF([1]All!$L138=0,"",[1]All!$L138)</f>
        <v>O-RING</v>
      </c>
      <c r="M137" s="7" t="str">
        <f>IF([1]All!$AJ138=0,"",[1]All!$AJ138)</f>
        <v xml:space="preserve">AATY </v>
      </c>
      <c r="N137" s="7" t="str">
        <f>IF([1]All!$R138=0,"",[1]All!$R138)</f>
        <v/>
      </c>
      <c r="O137" s="7" t="str">
        <f>IF([1]All!$S138=0,"",[1]All!$S138)</f>
        <v/>
      </c>
      <c r="P137" s="7" t="str">
        <f>IF([1]All!$V138=0,"",[1]All!$V138)</f>
        <v>0000000417</v>
      </c>
      <c r="Q137" s="3" t="str">
        <f t="shared" si="17"/>
        <v>$4.17</v>
      </c>
      <c r="R137" s="8" t="str">
        <f>IF([1]All!$F138=0,"",[1]All!$F138)</f>
        <v>MIL-001-1028</v>
      </c>
    </row>
    <row r="138" spans="1:18">
      <c r="A138" s="7"/>
      <c r="B138" s="3">
        <f t="shared" si="12"/>
        <v>69</v>
      </c>
      <c r="C138" s="3" t="str">
        <f t="shared" si="13"/>
        <v>E</v>
      </c>
      <c r="D138" s="9" t="str">
        <f t="shared" si="14"/>
        <v>MIL-001-1029</v>
      </c>
      <c r="E138" s="3" t="str">
        <f t="shared" si="15"/>
        <v>AZUA  MIL-001-1029</v>
      </c>
      <c r="F138" s="10" t="str">
        <f t="shared" si="16"/>
        <v>PCCN: CRGARM:-:PLISN: AZUA :-:PCC: TIT :-: CAGE: 0UJB5:-:PART NUMBER: MIL-001-1029:-:NOMENCLATURE: SPACER:-:PRICE: $57.85:-:UNIQUE MODS: NO:-:PROPRIETARILY MFG FOR OEM: NO:-: :-: :-: :-: :-: NHA: MIL-001-396 :-: NHA NSN: 3810015663870</v>
      </c>
      <c r="G138" s="8" t="str">
        <f>IF([1]All!$B139="","",[1]All!$B139)</f>
        <v xml:space="preserve">AZUA </v>
      </c>
      <c r="H138" s="8"/>
      <c r="I138" s="8" t="str">
        <f>IF([1]All!$D139=0,"",[1]All!$D139)</f>
        <v>E</v>
      </c>
      <c r="J138" s="8" t="str">
        <f>IF([1]All!$E139=0,"",[1]All!$E139)</f>
        <v>0UJB5</v>
      </c>
      <c r="K138" s="8" t="s">
        <v>107</v>
      </c>
      <c r="L138" s="11" t="str">
        <f>IF([1]All!$L139=0,"",[1]All!$L139)</f>
        <v>SPACER</v>
      </c>
      <c r="M138" s="7" t="str">
        <f>IF([1]All!$AJ139=0,"",[1]All!$AJ139)</f>
        <v xml:space="preserve">AATY </v>
      </c>
      <c r="N138" s="7" t="str">
        <f>IF([1]All!$R139=0,"",[1]All!$R139)</f>
        <v/>
      </c>
      <c r="O138" s="7" t="str">
        <f>IF([1]All!$S139=0,"",[1]All!$S139)</f>
        <v/>
      </c>
      <c r="P138" s="7" t="str">
        <f>IF([1]All!$V139=0,"",[1]All!$V139)</f>
        <v>0000005785</v>
      </c>
      <c r="Q138" s="3" t="str">
        <f t="shared" si="17"/>
        <v>$57.85</v>
      </c>
      <c r="R138" s="8" t="str">
        <f>IF([1]All!$F139=0,"",[1]All!$F139)</f>
        <v>MIL-001-1029</v>
      </c>
    </row>
    <row r="139" spans="1:18">
      <c r="A139" s="7"/>
      <c r="B139" s="3">
        <f t="shared" si="12"/>
        <v>69</v>
      </c>
      <c r="C139" s="3" t="str">
        <f t="shared" si="13"/>
        <v>E</v>
      </c>
      <c r="D139" s="9" t="str">
        <f t="shared" si="14"/>
        <v>MIL-001-1030</v>
      </c>
      <c r="E139" s="3" t="str">
        <f t="shared" si="15"/>
        <v>AZZ6  MIL-001-1030</v>
      </c>
      <c r="F139" s="10" t="str">
        <f t="shared" si="16"/>
        <v>PCCN: CRGARM:-:PLISN: AZZ6 :-:PCC: TIT :-: CAGE: 0UJB5:-:PART NUMBER: MIL-001-1030:-:NOMENCLATURE: GEAR, HELICAL:-:PRICE: $1230.38:-:UNIQUE MODS: NO:-:PROPRIETARILY MFG FOR OEM: NO:-: :-: :-: :-: :-: NHA: MIL-001-396 :-: NHA NSN: 3810015663870</v>
      </c>
      <c r="G139" s="8" t="str">
        <f>IF([1]All!$B140="","",[1]All!$B140)</f>
        <v xml:space="preserve">AZZ6 </v>
      </c>
      <c r="H139" s="8"/>
      <c r="I139" s="8" t="str">
        <f>IF([1]All!$D140=0,"",[1]All!$D140)</f>
        <v>E</v>
      </c>
      <c r="J139" s="8" t="str">
        <f>IF([1]All!$E140=0,"",[1]All!$E140)</f>
        <v>0UJB5</v>
      </c>
      <c r="K139" s="8" t="s">
        <v>108</v>
      </c>
      <c r="L139" s="11" t="str">
        <f>IF([1]All!$L140=0,"",[1]All!$L140)</f>
        <v>GEAR, HELICAL</v>
      </c>
      <c r="M139" s="7" t="str">
        <f>IF([1]All!$AJ140=0,"",[1]All!$AJ140)</f>
        <v xml:space="preserve">AATY </v>
      </c>
      <c r="N139" s="7" t="str">
        <f>IF([1]All!$R140=0,"",[1]All!$R140)</f>
        <v/>
      </c>
      <c r="O139" s="7" t="str">
        <f>IF([1]All!$S140=0,"",[1]All!$S140)</f>
        <v/>
      </c>
      <c r="P139" s="7" t="str">
        <f>IF([1]All!$V140=0,"",[1]All!$V140)</f>
        <v>0000123038</v>
      </c>
      <c r="Q139" s="3" t="str">
        <f t="shared" si="17"/>
        <v>$1230.38</v>
      </c>
      <c r="R139" s="8" t="str">
        <f>IF([1]All!$F140=0,"",[1]All!$F140)</f>
        <v>MIL-001-1030</v>
      </c>
    </row>
    <row r="140" spans="1:18">
      <c r="A140" s="7"/>
      <c r="B140" s="3">
        <f t="shared" si="12"/>
        <v>69</v>
      </c>
      <c r="C140" s="3" t="str">
        <f t="shared" si="13"/>
        <v>E</v>
      </c>
      <c r="D140" s="9" t="str">
        <f t="shared" si="14"/>
        <v>MIL-001-1031</v>
      </c>
      <c r="E140" s="3" t="str">
        <f t="shared" si="15"/>
        <v>AZ52  MIL-001-1031</v>
      </c>
      <c r="F140" s="10" t="str">
        <f t="shared" si="16"/>
        <v>PCCN: CRGARM:-:PLISN: AZ52 :-:PCC: TIT :-: CAGE: 0UJB5:-:PART NUMBER: MIL-001-1031:-:NOMENCLATURE: SCREW, CAP, HEXAGON:-:PRICE: $4.75:-:UNIQUE MODS: NO:-:PROPRIETARILY MFG FOR OEM: NO:-: :-: :-: :-: :-: NHA: MIL-001-396 :-: NHA NSN: 3810015663870</v>
      </c>
      <c r="G140" s="8" t="str">
        <f>IF([1]All!$B141="","",[1]All!$B141)</f>
        <v xml:space="preserve">AZ52 </v>
      </c>
      <c r="H140" s="8"/>
      <c r="I140" s="8" t="str">
        <f>IF([1]All!$D141=0,"",[1]All!$D141)</f>
        <v>E</v>
      </c>
      <c r="J140" s="8" t="str">
        <f>IF([1]All!$E141=0,"",[1]All!$E141)</f>
        <v>0UJB5</v>
      </c>
      <c r="K140" s="8" t="s">
        <v>109</v>
      </c>
      <c r="L140" s="11" t="str">
        <f>IF([1]All!$L141=0,"",[1]All!$L141)</f>
        <v>SCREW, CAP, HEXAGON</v>
      </c>
      <c r="M140" s="7" t="str">
        <f>IF([1]All!$AJ141=0,"",[1]All!$AJ141)</f>
        <v xml:space="preserve">AATY </v>
      </c>
      <c r="N140" s="7" t="str">
        <f>IF([1]All!$R141=0,"",[1]All!$R141)</f>
        <v/>
      </c>
      <c r="O140" s="7" t="str">
        <f>IF([1]All!$S141=0,"",[1]All!$S141)</f>
        <v/>
      </c>
      <c r="P140" s="7" t="str">
        <f>IF([1]All!$V141=0,"",[1]All!$V141)</f>
        <v>0000000475</v>
      </c>
      <c r="Q140" s="3" t="str">
        <f t="shared" si="17"/>
        <v>$4.75</v>
      </c>
      <c r="R140" s="8" t="str">
        <f>IF([1]All!$F141=0,"",[1]All!$F141)</f>
        <v>MIL-001-1031</v>
      </c>
    </row>
    <row r="141" spans="1:18">
      <c r="A141" s="7"/>
      <c r="B141" s="3">
        <f t="shared" si="12"/>
        <v>69</v>
      </c>
      <c r="C141" s="3" t="str">
        <f t="shared" si="13"/>
        <v>E</v>
      </c>
      <c r="D141" s="9" t="str">
        <f t="shared" si="14"/>
        <v>MIL-001-1032</v>
      </c>
      <c r="E141" s="3" t="str">
        <f t="shared" si="15"/>
        <v>A0BY  MIL-001-1032</v>
      </c>
      <c r="F141" s="10" t="str">
        <f t="shared" si="16"/>
        <v>PCCN: CRGARM:-:PLISN: A0BY :-:PCC: TIT :-: CAGE: 0UJB5:-:PART NUMBER: MIL-001-1032:-:NOMENCLATURE: SHAFT,STRIGHT:-:PRICE: $1459.76:-:UNIQUE MODS: NO:-:PROPRIETARILY MFG FOR OEM: NO:-: :-: :-: :-: :-: NHA: MIL-001-396 :-: NHA NSN: 3810015663870</v>
      </c>
      <c r="G141" s="8" t="str">
        <f>IF([1]All!$B142="","",[1]All!$B142)</f>
        <v xml:space="preserve">A0BY </v>
      </c>
      <c r="H141" s="8"/>
      <c r="I141" s="8" t="str">
        <f>IF([1]All!$D142=0,"",[1]All!$D142)</f>
        <v>E</v>
      </c>
      <c r="J141" s="8" t="str">
        <f>IF([1]All!$E142=0,"",[1]All!$E142)</f>
        <v>0UJB5</v>
      </c>
      <c r="K141" s="8" t="s">
        <v>110</v>
      </c>
      <c r="L141" s="11" t="str">
        <f>IF([1]All!$L142=0,"",[1]All!$L142)</f>
        <v>SHAFT,STRIGHT</v>
      </c>
      <c r="M141" s="7" t="str">
        <f>IF([1]All!$AJ142=0,"",[1]All!$AJ142)</f>
        <v xml:space="preserve">AATY </v>
      </c>
      <c r="N141" s="7" t="str">
        <f>IF([1]All!$R142=0,"",[1]All!$R142)</f>
        <v/>
      </c>
      <c r="O141" s="7" t="str">
        <f>IF([1]All!$S142=0,"",[1]All!$S142)</f>
        <v/>
      </c>
      <c r="P141" s="7" t="str">
        <f>IF([1]All!$V142=0,"",[1]All!$V142)</f>
        <v>0000145976</v>
      </c>
      <c r="Q141" s="3" t="str">
        <f t="shared" si="17"/>
        <v>$1459.76</v>
      </c>
      <c r="R141" s="8" t="str">
        <f>IF([1]All!$F142=0,"",[1]All!$F142)</f>
        <v>MIL-001-1032</v>
      </c>
    </row>
    <row r="142" spans="1:18">
      <c r="A142" s="7"/>
      <c r="B142" s="3">
        <f t="shared" si="12"/>
        <v>69</v>
      </c>
      <c r="C142" s="3" t="str">
        <f t="shared" si="13"/>
        <v>E</v>
      </c>
      <c r="D142" s="9" t="str">
        <f t="shared" si="14"/>
        <v>MIL-001-1033</v>
      </c>
      <c r="E142" s="3" t="str">
        <f t="shared" si="15"/>
        <v>A0PQ  MIL-001-1033</v>
      </c>
      <c r="F142" s="10" t="str">
        <f t="shared" si="16"/>
        <v>PCCN: CRGARM:-:PLISN: A0PQ :-:PCC: TIT :-: CAGE: 0UJB5:-:PART NUMBER: MIL-001-1033:-:NOMENCLATURE: BEARING:-:PRICE: $162.52:-:UNIQUE MODS: NO:-:PROPRIETARILY MFG FOR OEM: NO:-: :-: :-: :-: :-: NHA: MIL-001-396 :-: NHA NSN: 3810015663870</v>
      </c>
      <c r="G142" s="8" t="str">
        <f>IF([1]All!$B143="","",[1]All!$B143)</f>
        <v xml:space="preserve">A0PQ </v>
      </c>
      <c r="H142" s="8"/>
      <c r="I142" s="8" t="str">
        <f>IF([1]All!$D143=0,"",[1]All!$D143)</f>
        <v>E</v>
      </c>
      <c r="J142" s="8" t="str">
        <f>IF([1]All!$E143=0,"",[1]All!$E143)</f>
        <v>0UJB5</v>
      </c>
      <c r="K142" s="8" t="s">
        <v>111</v>
      </c>
      <c r="L142" s="11" t="str">
        <f>IF([1]All!$L143=0,"",[1]All!$L143)</f>
        <v>BEARING</v>
      </c>
      <c r="M142" s="7" t="str">
        <f>IF([1]All!$AJ143=0,"",[1]All!$AJ143)</f>
        <v xml:space="preserve">AATY </v>
      </c>
      <c r="N142" s="7" t="str">
        <f>IF([1]All!$R143=0,"",[1]All!$R143)</f>
        <v/>
      </c>
      <c r="O142" s="7" t="str">
        <f>IF([1]All!$S143=0,"",[1]All!$S143)</f>
        <v/>
      </c>
      <c r="P142" s="7" t="str">
        <f>IF([1]All!$V143=0,"",[1]All!$V143)</f>
        <v>0000016252</v>
      </c>
      <c r="Q142" s="3" t="str">
        <f t="shared" si="17"/>
        <v>$162.52</v>
      </c>
      <c r="R142" s="8" t="str">
        <f>IF([1]All!$F143=0,"",[1]All!$F143)</f>
        <v>MIL-001-1033</v>
      </c>
    </row>
    <row r="143" spans="1:18">
      <c r="A143" s="7"/>
      <c r="B143" s="3">
        <f t="shared" si="12"/>
        <v>69</v>
      </c>
      <c r="C143" s="3" t="str">
        <f t="shared" si="13"/>
        <v>E</v>
      </c>
      <c r="D143" s="9" t="str">
        <f t="shared" si="14"/>
        <v>MIL-001-1034</v>
      </c>
      <c r="E143" s="3" t="str">
        <f t="shared" si="15"/>
        <v>A0VL  MIL-001-1034</v>
      </c>
      <c r="F143" s="10" t="str">
        <f t="shared" si="16"/>
        <v>PCCN: CRGARM:-:PLISN: A0VL :-:PCC: TIT :-: CAGE: 0UJB5:-:PART NUMBER: MIL-001-1034:-:NOMENCLATURE: RING, SPLIT:-:PRICE: $176.48:-:UNIQUE MODS: NO:-:PROPRIETARILY MFG FOR OEM: NO:-: :-: :-: :-: :-: NHA: MIL-001-396 :-: NHA NSN: 3810015663870</v>
      </c>
      <c r="G143" s="8" t="str">
        <f>IF([1]All!$B144="","",[1]All!$B144)</f>
        <v xml:space="preserve">A0VL </v>
      </c>
      <c r="H143" s="8"/>
      <c r="I143" s="8" t="str">
        <f>IF([1]All!$D144=0,"",[1]All!$D144)</f>
        <v>E</v>
      </c>
      <c r="J143" s="8" t="str">
        <f>IF([1]All!$E144=0,"",[1]All!$E144)</f>
        <v>0UJB5</v>
      </c>
      <c r="K143" s="8" t="s">
        <v>112</v>
      </c>
      <c r="L143" s="11" t="str">
        <f>IF([1]All!$L144=0,"",[1]All!$L144)</f>
        <v>RING, SPLIT</v>
      </c>
      <c r="M143" s="7" t="str">
        <f>IF([1]All!$AJ144=0,"",[1]All!$AJ144)</f>
        <v xml:space="preserve">AATY </v>
      </c>
      <c r="N143" s="7" t="str">
        <f>IF([1]All!$R144=0,"",[1]All!$R144)</f>
        <v/>
      </c>
      <c r="O143" s="7" t="str">
        <f>IF([1]All!$S144=0,"",[1]All!$S144)</f>
        <v/>
      </c>
      <c r="P143" s="7" t="str">
        <f>IF([1]All!$V144=0,"",[1]All!$V144)</f>
        <v>0000017648</v>
      </c>
      <c r="Q143" s="3" t="str">
        <f t="shared" si="17"/>
        <v>$176.48</v>
      </c>
      <c r="R143" s="8" t="str">
        <f>IF([1]All!$F144=0,"",[1]All!$F144)</f>
        <v>MIL-001-1034</v>
      </c>
    </row>
    <row r="144" spans="1:18">
      <c r="A144" s="7"/>
      <c r="B144" s="3">
        <f t="shared" si="12"/>
        <v>69</v>
      </c>
      <c r="C144" s="3" t="str">
        <f t="shared" si="13"/>
        <v>E</v>
      </c>
      <c r="D144" s="9" t="str">
        <f t="shared" si="14"/>
        <v>VI808</v>
      </c>
      <c r="E144" s="3" t="str">
        <f t="shared" si="15"/>
        <v>A01G  VI808</v>
      </c>
      <c r="F144" s="10" t="str">
        <f t="shared" si="16"/>
        <v>PCCN: CRGARM:-:PLISN: A01G :-:PCC: TIT :-: CAGE: 0UJB5:-:PART NUMBER: VI808:-:NOMENCLATURE: SCREW, CAP, HEXAGON:-:PRICE: $3.43:-:UNIQUE MODS: NO:-:PROPRIETARILY MFG FOR OEM: NO:-: :-: :-: :-:NSN: 5305015474240 :-: NHA: MIL-001-396 :-: NHA NSN: 3810015663870</v>
      </c>
      <c r="G144" s="8" t="str">
        <f>IF([1]All!$B145="","",[1]All!$B145)</f>
        <v xml:space="preserve">A01G </v>
      </c>
      <c r="H144" s="8"/>
      <c r="I144" s="8" t="str">
        <f>IF([1]All!$D145=0,"",[1]All!$D145)</f>
        <v>E</v>
      </c>
      <c r="J144" s="8" t="str">
        <f>IF([1]All!$E145=0,"",[1]All!$E145)</f>
        <v>0UJB5</v>
      </c>
      <c r="K144" s="8" t="s">
        <v>113</v>
      </c>
      <c r="L144" s="11" t="str">
        <f>IF([1]All!$L145=0,"",[1]All!$L145)</f>
        <v>SCREW, CAP, HEXAGON</v>
      </c>
      <c r="M144" s="7" t="str">
        <f>IF([1]All!$AJ145=0,"",[1]All!$AJ145)</f>
        <v xml:space="preserve">AATY </v>
      </c>
      <c r="N144" s="7" t="str">
        <f>IF([1]All!$R145=0,"",[1]All!$R145)</f>
        <v>5305</v>
      </c>
      <c r="O144" s="7" t="str">
        <f>IF([1]All!$S145=0,"",[1]All!$S145)</f>
        <v>015474240</v>
      </c>
      <c r="P144" s="7" t="str">
        <f>IF([1]All!$V145=0,"",[1]All!$V145)</f>
        <v>0000000343</v>
      </c>
      <c r="Q144" s="3" t="str">
        <f t="shared" si="17"/>
        <v>$3.43</v>
      </c>
      <c r="R144" s="8" t="str">
        <f>IF([1]All!$F145=0,"",[1]All!$F145)</f>
        <v>VI808</v>
      </c>
    </row>
    <row r="145" spans="1:18">
      <c r="A145" s="7"/>
      <c r="B145" s="3">
        <f t="shared" si="12"/>
        <v>69</v>
      </c>
      <c r="C145" s="3" t="str">
        <f t="shared" si="13"/>
        <v>E</v>
      </c>
      <c r="D145" s="9" t="str">
        <f t="shared" si="14"/>
        <v>MIL-001-1035</v>
      </c>
      <c r="E145" s="3" t="str">
        <f t="shared" si="15"/>
        <v>A07C  MIL-001-1035</v>
      </c>
      <c r="F145" s="10" t="str">
        <f t="shared" si="16"/>
        <v>PCCN: CRGARM:-:PLISN: A07C :-:PCC: TIT :-: CAGE: 0UJB5:-:PART NUMBER: MIL-001-1035:-:NOMENCLATURE: COVER:-:PRICE: $102.18:-:UNIQUE MODS: NO:-:PROPRIETARILY MFG FOR OEM: NO:-: :-: :-: :-: :-: NHA: MIL-001-396 :-: NHA NSN: 3810015663870</v>
      </c>
      <c r="G145" s="8" t="str">
        <f>IF([1]All!$B146="","",[1]All!$B146)</f>
        <v xml:space="preserve">A07C </v>
      </c>
      <c r="H145" s="8"/>
      <c r="I145" s="8" t="str">
        <f>IF([1]All!$D146=0,"",[1]All!$D146)</f>
        <v>E</v>
      </c>
      <c r="J145" s="8" t="str">
        <f>IF([1]All!$E146=0,"",[1]All!$E146)</f>
        <v>0UJB5</v>
      </c>
      <c r="K145" s="8" t="s">
        <v>114</v>
      </c>
      <c r="L145" s="11" t="str">
        <f>IF([1]All!$L146=0,"",[1]All!$L146)</f>
        <v>COVER</v>
      </c>
      <c r="M145" s="7" t="str">
        <f>IF([1]All!$AJ146=0,"",[1]All!$AJ146)</f>
        <v xml:space="preserve">AATY </v>
      </c>
      <c r="N145" s="7" t="str">
        <f>IF([1]All!$R146=0,"",[1]All!$R146)</f>
        <v/>
      </c>
      <c r="O145" s="7" t="str">
        <f>IF([1]All!$S146=0,"",[1]All!$S146)</f>
        <v/>
      </c>
      <c r="P145" s="7" t="str">
        <f>IF([1]All!$V146=0,"",[1]All!$V146)</f>
        <v>0000010218</v>
      </c>
      <c r="Q145" s="3" t="str">
        <f t="shared" si="17"/>
        <v>$102.18</v>
      </c>
      <c r="R145" s="8" t="str">
        <f>IF([1]All!$F146=0,"",[1]All!$F146)</f>
        <v>MIL-001-1035</v>
      </c>
    </row>
    <row r="146" spans="1:18">
      <c r="A146" s="7"/>
      <c r="B146" s="3">
        <f t="shared" si="12"/>
        <v>69</v>
      </c>
      <c r="C146" s="3" t="str">
        <f t="shared" si="13"/>
        <v>E</v>
      </c>
      <c r="D146" s="9" t="str">
        <f t="shared" si="14"/>
        <v>MIL-001-1036</v>
      </c>
      <c r="E146" s="3" t="str">
        <f t="shared" si="15"/>
        <v>A1C8  MIL-001-1036</v>
      </c>
      <c r="F146" s="10" t="str">
        <f t="shared" si="16"/>
        <v>PCCN: CRGARM:-:PLISN: A1C8 :-:PCC: TIT :-: CAGE: 0UJB5:-:PART NUMBER: MIL-001-1036:-:NOMENCLATURE: COVER:-:PRICE: $64.93:-:UNIQUE MODS: NO:-:PROPRIETARILY MFG FOR OEM: NO:-: :-: :-: :-: :-: NHA: MIL-001-396 :-: NHA NSN: 3810015663870</v>
      </c>
      <c r="G146" s="8" t="str">
        <f>IF([1]All!$B147="","",[1]All!$B147)</f>
        <v xml:space="preserve">A1C8 </v>
      </c>
      <c r="H146" s="8"/>
      <c r="I146" s="8" t="str">
        <f>IF([1]All!$D147=0,"",[1]All!$D147)</f>
        <v>E</v>
      </c>
      <c r="J146" s="8" t="str">
        <f>IF([1]All!$E147=0,"",[1]All!$E147)</f>
        <v>0UJB5</v>
      </c>
      <c r="K146" s="8" t="s">
        <v>115</v>
      </c>
      <c r="L146" s="11" t="str">
        <f>IF([1]All!$L147=0,"",[1]All!$L147)</f>
        <v>COVER</v>
      </c>
      <c r="M146" s="7" t="str">
        <f>IF([1]All!$AJ147=0,"",[1]All!$AJ147)</f>
        <v xml:space="preserve">AATY </v>
      </c>
      <c r="N146" s="7" t="str">
        <f>IF([1]All!$R147=0,"",[1]All!$R147)</f>
        <v/>
      </c>
      <c r="O146" s="7" t="str">
        <f>IF([1]All!$S147=0,"",[1]All!$S147)</f>
        <v/>
      </c>
      <c r="P146" s="7" t="str">
        <f>IF([1]All!$V147=0,"",[1]All!$V147)</f>
        <v>0000006493</v>
      </c>
      <c r="Q146" s="3" t="str">
        <f t="shared" si="17"/>
        <v>$64.93</v>
      </c>
      <c r="R146" s="8" t="str">
        <f>IF([1]All!$F147=0,"",[1]All!$F147)</f>
        <v>MIL-001-1036</v>
      </c>
    </row>
    <row r="147" spans="1:18">
      <c r="A147" s="7"/>
      <c r="B147" s="3">
        <f t="shared" si="12"/>
        <v>69</v>
      </c>
      <c r="C147" s="3" t="str">
        <f t="shared" si="13"/>
        <v>E</v>
      </c>
      <c r="D147" s="9" t="str">
        <f t="shared" si="14"/>
        <v>VI632</v>
      </c>
      <c r="E147" s="3" t="str">
        <f t="shared" si="15"/>
        <v>A1J4  VI632</v>
      </c>
      <c r="F147" s="10" t="str">
        <f t="shared" si="16"/>
        <v>PCCN: CRGARM:-:PLISN: A1J4 :-:PCC: TIT :-: CAGE: 0UJB5:-:PART NUMBER: VI632:-:NOMENCLATURE: SCREW, CAP, HEXAGON:-:PRICE: $3.33:-:UNIQUE MODS: NO:-:PROPRIETARILY MFG FOR OEM: NO:-: :-: :-: :-:NSN: 5305015474199 :-: NHA: MIL-001-396 :-: NHA NSN: 3810015663870</v>
      </c>
      <c r="G147" s="8" t="str">
        <f>IF([1]All!$B148="","",[1]All!$B148)</f>
        <v xml:space="preserve">A1J4 </v>
      </c>
      <c r="H147" s="8"/>
      <c r="I147" s="8" t="str">
        <f>IF([1]All!$D148=0,"",[1]All!$D148)</f>
        <v>E</v>
      </c>
      <c r="J147" s="8" t="str">
        <f>IF([1]All!$E148=0,"",[1]All!$E148)</f>
        <v>0UJB5</v>
      </c>
      <c r="K147" s="8" t="s">
        <v>116</v>
      </c>
      <c r="L147" s="11" t="str">
        <f>IF([1]All!$L148=0,"",[1]All!$L148)</f>
        <v>SCREW, CAP, HEXAGON</v>
      </c>
      <c r="M147" s="7" t="str">
        <f>IF([1]All!$AJ148=0,"",[1]All!$AJ148)</f>
        <v xml:space="preserve">AATY </v>
      </c>
      <c r="N147" s="7" t="str">
        <f>IF([1]All!$R148=0,"",[1]All!$R148)</f>
        <v>5305</v>
      </c>
      <c r="O147" s="7" t="str">
        <f>IF([1]All!$S148=0,"",[1]All!$S148)</f>
        <v>015474199</v>
      </c>
      <c r="P147" s="7" t="str">
        <f>IF([1]All!$V148=0,"",[1]All!$V148)</f>
        <v>0000000333</v>
      </c>
      <c r="Q147" s="3" t="str">
        <f t="shared" si="17"/>
        <v>$3.33</v>
      </c>
      <c r="R147" s="8" t="str">
        <f>IF([1]All!$F148=0,"",[1]All!$F148)</f>
        <v>VI632</v>
      </c>
    </row>
    <row r="148" spans="1:18">
      <c r="A148" s="7"/>
      <c r="B148" s="3">
        <f t="shared" si="12"/>
        <v>69</v>
      </c>
      <c r="C148" s="3" t="str">
        <f t="shared" si="13"/>
        <v>E</v>
      </c>
      <c r="D148" s="9" t="str">
        <f t="shared" si="14"/>
        <v>RE278</v>
      </c>
      <c r="E148" s="3" t="str">
        <f t="shared" si="15"/>
        <v>A1Q0  RE278</v>
      </c>
      <c r="F148" s="10" t="str">
        <f t="shared" si="16"/>
        <v>PCCN: CRGARM:-:PLISN: A1Q0 :-:PCC: TIT :-: CAGE: 0UJB5:-:PART NUMBER: RE278:-:NOMENCLATURE: WASHER, LOCK:-:PRICE: $3.27:-:UNIQUE MODS: NO:-:PROPRIETARILY MFG FOR OEM: NO:-: :-: :-: :-:NSN: 5310015474140 :-: NHA: MIL-001-396 :-: NHA NSN: 3810015663870</v>
      </c>
      <c r="G148" s="8" t="str">
        <f>IF([1]All!$B149="","",[1]All!$B149)</f>
        <v xml:space="preserve">A1Q0 </v>
      </c>
      <c r="H148" s="8"/>
      <c r="I148" s="8" t="str">
        <f>IF([1]All!$D149=0,"",[1]All!$D149)</f>
        <v>E</v>
      </c>
      <c r="J148" s="8" t="str">
        <f>IF([1]All!$E149=0,"",[1]All!$E149)</f>
        <v>0UJB5</v>
      </c>
      <c r="K148" s="8" t="s">
        <v>117</v>
      </c>
      <c r="L148" s="11" t="str">
        <f>IF([1]All!$L149=0,"",[1]All!$L149)</f>
        <v>WASHER, LOCK</v>
      </c>
      <c r="M148" s="7" t="str">
        <f>IF([1]All!$AJ149=0,"",[1]All!$AJ149)</f>
        <v xml:space="preserve">AATY </v>
      </c>
      <c r="N148" s="7" t="str">
        <f>IF([1]All!$R149=0,"",[1]All!$R149)</f>
        <v>5310</v>
      </c>
      <c r="O148" s="7" t="str">
        <f>IF([1]All!$S149=0,"",[1]All!$S149)</f>
        <v>015474140</v>
      </c>
      <c r="P148" s="7" t="str">
        <f>IF([1]All!$V149=0,"",[1]All!$V149)</f>
        <v>0000000327</v>
      </c>
      <c r="Q148" s="3" t="str">
        <f t="shared" si="17"/>
        <v>$3.27</v>
      </c>
      <c r="R148" s="8" t="str">
        <f>IF([1]All!$F149=0,"",[1]All!$F149)</f>
        <v>RE278</v>
      </c>
    </row>
    <row r="149" spans="1:18">
      <c r="A149" s="7"/>
      <c r="B149" s="3">
        <f t="shared" si="12"/>
        <v>69</v>
      </c>
      <c r="C149" s="3" t="str">
        <f t="shared" si="13"/>
        <v>E</v>
      </c>
      <c r="D149" s="9" t="str">
        <f t="shared" si="14"/>
        <v>MIL-001-1038</v>
      </c>
      <c r="E149" s="3" t="str">
        <f t="shared" si="15"/>
        <v>A1WW  MIL-001-1038</v>
      </c>
      <c r="F149" s="10" t="str">
        <f t="shared" si="16"/>
        <v>PCCN: CRGARM:-:PLISN: A1WW :-:PCC: TIT :-: CAGE: 0UJB5:-:PART NUMBER: MIL-001-1038:-:NOMENCLATURE: STOP:-:PRICE: $169.19:-:UNIQUE MODS: NO:-:PROPRIETARILY MFG FOR OEM: NO:-: :-: :-: :-: :-: NHA: MIL-001-396 :-: NHA NSN: 3810015663870</v>
      </c>
      <c r="G149" s="8" t="str">
        <f>IF([1]All!$B150="","",[1]All!$B150)</f>
        <v xml:space="preserve">A1WW </v>
      </c>
      <c r="H149" s="8"/>
      <c r="I149" s="8" t="str">
        <f>IF([1]All!$D150=0,"",[1]All!$D150)</f>
        <v>E</v>
      </c>
      <c r="J149" s="8" t="str">
        <f>IF([1]All!$E150=0,"",[1]All!$E150)</f>
        <v>0UJB5</v>
      </c>
      <c r="K149" s="8" t="s">
        <v>118</v>
      </c>
      <c r="L149" s="11" t="str">
        <f>IF([1]All!$L150=0,"",[1]All!$L150)</f>
        <v>STOP</v>
      </c>
      <c r="M149" s="7" t="str">
        <f>IF([1]All!$AJ150=0,"",[1]All!$AJ150)</f>
        <v xml:space="preserve">AATY </v>
      </c>
      <c r="N149" s="7" t="str">
        <f>IF([1]All!$R150=0,"",[1]All!$R150)</f>
        <v/>
      </c>
      <c r="O149" s="7" t="str">
        <f>IF([1]All!$S150=0,"",[1]All!$S150)</f>
        <v/>
      </c>
      <c r="P149" s="7" t="str">
        <f>IF([1]All!$V150=0,"",[1]All!$V150)</f>
        <v>0000016919</v>
      </c>
      <c r="Q149" s="3" t="str">
        <f t="shared" si="17"/>
        <v>$169.19</v>
      </c>
      <c r="R149" s="8" t="str">
        <f>IF([1]All!$F150=0,"",[1]All!$F150)</f>
        <v>MIL-001-1038</v>
      </c>
    </row>
    <row r="150" spans="1:18">
      <c r="A150" s="7"/>
      <c r="B150" s="3">
        <f t="shared" si="12"/>
        <v>69</v>
      </c>
      <c r="C150" s="3" t="str">
        <f t="shared" si="13"/>
        <v>E</v>
      </c>
      <c r="D150" s="9" t="str">
        <f t="shared" si="14"/>
        <v>91180A643</v>
      </c>
      <c r="E150" s="3" t="str">
        <f t="shared" si="15"/>
        <v>A12S  91180A643</v>
      </c>
      <c r="F150" s="10" t="str">
        <f t="shared" si="16"/>
        <v>PCCN: CRGARM:-:PLISN: A12S :-:PCC: TIT :-: CAGE: 39428:-:PART NUMBER: 91180A643:-:NOMENCLATURE: SCREW, CAP, HEXAGON:-:PRICE: $1.60:-:UNIQUE MODS: NO:-:PROPRIETARILY MFG FOR OEM: NO:-: :-: :-: :-: :-: NHA: MIL-001-396 :-: NHA NSN: 3810015663870</v>
      </c>
      <c r="G150" s="8" t="str">
        <f>IF([1]All!$B151="","",[1]All!$B151)</f>
        <v xml:space="preserve">A12S </v>
      </c>
      <c r="H150" s="8"/>
      <c r="I150" s="8" t="str">
        <f>IF([1]All!$D151=0,"",[1]All!$D151)</f>
        <v>E</v>
      </c>
      <c r="J150" s="8" t="str">
        <f>IF([1]All!$E151=0,"",[1]All!$E151)</f>
        <v>39428</v>
      </c>
      <c r="K150" s="8" t="s">
        <v>430</v>
      </c>
      <c r="L150" s="11" t="str">
        <f>IF([1]All!$L151=0,"",[1]All!$L151)</f>
        <v>SCREW, CAP, HEXAGON</v>
      </c>
      <c r="M150" s="7" t="str">
        <f>IF([1]All!$AJ151=0,"",[1]All!$AJ151)</f>
        <v xml:space="preserve">AATY </v>
      </c>
      <c r="N150" s="7" t="str">
        <f>IF([1]All!$R151=0,"",[1]All!$R151)</f>
        <v/>
      </c>
      <c r="O150" s="7" t="str">
        <f>IF([1]All!$S151=0,"",[1]All!$S151)</f>
        <v/>
      </c>
      <c r="P150" s="7" t="str">
        <f>IF([1]All!$V151=0,"",[1]All!$V151)</f>
        <v>0000000160</v>
      </c>
      <c r="Q150" s="3" t="str">
        <f t="shared" si="17"/>
        <v>$1.60</v>
      </c>
      <c r="R150" s="8" t="str">
        <f>IF([1]All!$F151=0,"",[1]All!$F151)</f>
        <v>91180A643</v>
      </c>
    </row>
    <row r="151" spans="1:18">
      <c r="A151" s="7"/>
      <c r="B151" s="3">
        <f t="shared" si="12"/>
        <v>69</v>
      </c>
      <c r="C151" s="3" t="str">
        <f t="shared" si="13"/>
        <v>E</v>
      </c>
      <c r="D151" s="9" t="str">
        <f t="shared" si="14"/>
        <v>93162A330</v>
      </c>
      <c r="E151" s="3" t="str">
        <f t="shared" si="15"/>
        <v>A18N  93162A330</v>
      </c>
      <c r="F151" s="10" t="str">
        <f t="shared" si="16"/>
        <v>PCCN: CRGARM:-:PLISN: A18N :-:PCC: TIT :-: CAGE: 39428:-:PART NUMBER: 93162A330:-:NOMENCLATURE: WASHER:-:PRICE: $0.44:-:UNIQUE MODS: NO:-:PROPRIETARILY MFG FOR OEM: NO:-: :-: :-: :-: :-: NHA: MIL-001-396 :-: NHA NSN: 3810015663870</v>
      </c>
      <c r="G151" s="8" t="str">
        <f>IF([1]All!$B152="","",[1]All!$B152)</f>
        <v xml:space="preserve">A18N </v>
      </c>
      <c r="H151" s="8"/>
      <c r="I151" s="8" t="str">
        <f>IF([1]All!$D152=0,"",[1]All!$D152)</f>
        <v>E</v>
      </c>
      <c r="J151" s="8" t="str">
        <f>IF([1]All!$E152=0,"",[1]All!$E152)</f>
        <v>39428</v>
      </c>
      <c r="K151" s="8" t="s">
        <v>431</v>
      </c>
      <c r="L151" s="11" t="str">
        <f>IF([1]All!$L152=0,"",[1]All!$L152)</f>
        <v>WASHER</v>
      </c>
      <c r="M151" s="7" t="str">
        <f>IF([1]All!$AJ152=0,"",[1]All!$AJ152)</f>
        <v xml:space="preserve">AATY </v>
      </c>
      <c r="N151" s="7" t="str">
        <f>IF([1]All!$R152=0,"",[1]All!$R152)</f>
        <v/>
      </c>
      <c r="O151" s="7" t="str">
        <f>IF([1]All!$S152=0,"",[1]All!$S152)</f>
        <v/>
      </c>
      <c r="P151" s="7" t="str">
        <f>IF([1]All!$V152=0,"",[1]All!$V152)</f>
        <v>0000000044</v>
      </c>
      <c r="Q151" s="3" t="str">
        <f t="shared" si="17"/>
        <v>$0.44</v>
      </c>
      <c r="R151" s="8" t="str">
        <f>IF([1]All!$F152=0,"",[1]All!$F152)</f>
        <v>93162A330</v>
      </c>
    </row>
    <row r="152" spans="1:18">
      <c r="A152" s="7"/>
      <c r="B152" s="3">
        <f t="shared" si="12"/>
        <v>69</v>
      </c>
      <c r="C152" s="3" t="str">
        <f t="shared" si="13"/>
        <v>E</v>
      </c>
      <c r="D152" s="9" t="str">
        <f t="shared" si="14"/>
        <v>90576A132</v>
      </c>
      <c r="E152" s="3" t="str">
        <f t="shared" si="15"/>
        <v>A2EJ  90576A132</v>
      </c>
      <c r="F152" s="10" t="str">
        <f t="shared" si="16"/>
        <v>PCCN: CRGARM:-:PLISN: A2EJ :-:PCC: TIT :-: CAGE: 39428:-:PART NUMBER: 90576A132:-:NOMENCLATURE: NUT,SELF-LOCKING:-:PRICE: $0.81:-:UNIQUE MODS: NO:-:PROPRIETARILY MFG FOR OEM: NO:-: :-: :-: :-:NSN: 5310015545202 :-: NHA: MIL-001-396 :-: NHA NSN: 3810015663870</v>
      </c>
      <c r="G152" s="8" t="str">
        <f>IF([1]All!$B153="","",[1]All!$B153)</f>
        <v xml:space="preserve">A2EJ </v>
      </c>
      <c r="H152" s="8"/>
      <c r="I152" s="8" t="str">
        <f>IF([1]All!$D153=0,"",[1]All!$D153)</f>
        <v>E</v>
      </c>
      <c r="J152" s="8" t="str">
        <f>IF([1]All!$E153=0,"",[1]All!$E153)</f>
        <v>39428</v>
      </c>
      <c r="K152" s="8" t="s">
        <v>432</v>
      </c>
      <c r="L152" s="11" t="str">
        <f>IF([1]All!$L153=0,"",[1]All!$L153)</f>
        <v>NUT,SELF-LOCKING</v>
      </c>
      <c r="M152" s="7" t="str">
        <f>IF([1]All!$AJ153=0,"",[1]All!$AJ153)</f>
        <v xml:space="preserve">AATY </v>
      </c>
      <c r="N152" s="7" t="str">
        <f>IF([1]All!$R153=0,"",[1]All!$R153)</f>
        <v>5310</v>
      </c>
      <c r="O152" s="7" t="str">
        <f>IF([1]All!$S153=0,"",[1]All!$S153)</f>
        <v>015545202</v>
      </c>
      <c r="P152" s="7" t="str">
        <f>IF([1]All!$V153=0,"",[1]All!$V153)</f>
        <v>0000000081</v>
      </c>
      <c r="Q152" s="3" t="str">
        <f t="shared" si="17"/>
        <v>$0.81</v>
      </c>
      <c r="R152" s="8" t="str">
        <f>IF([1]All!$F153=0,"",[1]All!$F153)</f>
        <v>90576A132</v>
      </c>
    </row>
    <row r="153" spans="1:18">
      <c r="A153" s="7"/>
      <c r="B153" s="3">
        <f t="shared" si="12"/>
        <v>69</v>
      </c>
      <c r="C153" s="3" t="str">
        <f t="shared" si="13"/>
        <v>E</v>
      </c>
      <c r="D153" s="9" t="str">
        <f t="shared" si="14"/>
        <v>11114166</v>
      </c>
      <c r="E153" s="3" t="str">
        <f t="shared" si="15"/>
        <v>A2LE  11114166</v>
      </c>
      <c r="F153" s="10" t="str">
        <f t="shared" si="16"/>
        <v>PCCN: CRGARM:-:PLISN: A2LE :-:PCC: TIT :-: CAGE: 0Y3H3:-:PART NUMBER: 11114166:-:NOMENCLATURE: SCREW, CAP, HEXAGON:-:PRICE: $2.94:-:UNIQUE MODS: NO:-:PROPRIETARILY MFG FOR OEM: NO:-: :-: :-: :-: :-: NHA: MIL-001-396 :-: NHA NSN: 3810015663870</v>
      </c>
      <c r="G153" s="8" t="str">
        <f>IF([1]All!$B154="","",[1]All!$B154)</f>
        <v xml:space="preserve">A2LE </v>
      </c>
      <c r="H153" s="8"/>
      <c r="I153" s="8" t="str">
        <f>IF([1]All!$D154=0,"",[1]All!$D154)</f>
        <v>E</v>
      </c>
      <c r="J153" s="8" t="str">
        <f>IF([1]All!$E154=0,"",[1]All!$E154)</f>
        <v>0Y3H3</v>
      </c>
      <c r="K153" s="8" t="s">
        <v>433</v>
      </c>
      <c r="L153" s="11" t="str">
        <f>IF([1]All!$L154=0,"",[1]All!$L154)</f>
        <v>SCREW, CAP, HEXAGON</v>
      </c>
      <c r="M153" s="7" t="str">
        <f>IF([1]All!$AJ154=0,"",[1]All!$AJ154)</f>
        <v xml:space="preserve">AATY </v>
      </c>
      <c r="N153" s="7" t="str">
        <f>IF([1]All!$R154=0,"",[1]All!$R154)</f>
        <v/>
      </c>
      <c r="O153" s="7" t="str">
        <f>IF([1]All!$S154=0,"",[1]All!$S154)</f>
        <v/>
      </c>
      <c r="P153" s="7" t="str">
        <f>IF([1]All!$V154=0,"",[1]All!$V154)</f>
        <v>0000000294</v>
      </c>
      <c r="Q153" s="3" t="str">
        <f t="shared" si="17"/>
        <v>$2.94</v>
      </c>
      <c r="R153" s="8" t="str">
        <f>IF([1]All!$F154=0,"",[1]All!$F154)</f>
        <v>11114166</v>
      </c>
    </row>
    <row r="154" spans="1:18">
      <c r="A154" s="7"/>
      <c r="B154" s="3">
        <f t="shared" si="12"/>
        <v>69</v>
      </c>
      <c r="C154" s="3" t="str">
        <f t="shared" si="13"/>
        <v>E</v>
      </c>
      <c r="D154" s="9" t="str">
        <f t="shared" si="14"/>
        <v>MIL-001-1043</v>
      </c>
      <c r="E154" s="3" t="str">
        <f t="shared" si="15"/>
        <v>A2SA  MIL-001-1043</v>
      </c>
      <c r="F154" s="10" t="str">
        <f t="shared" si="16"/>
        <v>PCCN: CRGARM:-:PLISN: A2SA :-:PCC: TIT :-: CAGE: 0UJB5:-:PART NUMBER: MIL-001-1043:-:NOMENCLATURE: PLUG,MACHINE THREAD:-:PRICE: $1.56:-:UNIQUE MODS: NO:-:PROPRIETARILY MFG FOR OEM: NO:-: :-: :-: :-: :-: NHA: MIL-001-396 :-: NHA NSN: 3810015663870</v>
      </c>
      <c r="G154" s="8" t="str">
        <f>IF([1]All!$B155="","",[1]All!$B155)</f>
        <v xml:space="preserve">A2SA </v>
      </c>
      <c r="H154" s="8"/>
      <c r="I154" s="8" t="str">
        <f>IF([1]All!$D155=0,"",[1]All!$D155)</f>
        <v>E</v>
      </c>
      <c r="J154" s="8" t="str">
        <f>IF([1]All!$E155=0,"",[1]All!$E155)</f>
        <v>0UJB5</v>
      </c>
      <c r="K154" s="8" t="s">
        <v>119</v>
      </c>
      <c r="L154" s="11" t="str">
        <f>IF([1]All!$L155=0,"",[1]All!$L155)</f>
        <v>PLUG,MACHINE THREAD</v>
      </c>
      <c r="M154" s="7" t="str">
        <f>IF([1]All!$AJ155=0,"",[1]All!$AJ155)</f>
        <v xml:space="preserve">AATY </v>
      </c>
      <c r="N154" s="7" t="str">
        <f>IF([1]All!$R155=0,"",[1]All!$R155)</f>
        <v/>
      </c>
      <c r="O154" s="7" t="str">
        <f>IF([1]All!$S155=0,"",[1]All!$S155)</f>
        <v/>
      </c>
      <c r="P154" s="7" t="str">
        <f>IF([1]All!$V155=0,"",[1]All!$V155)</f>
        <v>0000000156</v>
      </c>
      <c r="Q154" s="3" t="str">
        <f t="shared" si="17"/>
        <v>$1.56</v>
      </c>
      <c r="R154" s="8" t="str">
        <f>IF([1]All!$F155=0,"",[1]All!$F155)</f>
        <v>MIL-001-1043</v>
      </c>
    </row>
    <row r="155" spans="1:18">
      <c r="A155" s="7"/>
      <c r="B155" s="3">
        <f t="shared" si="12"/>
        <v>69</v>
      </c>
      <c r="C155" s="3" t="str">
        <f t="shared" si="13"/>
        <v>E</v>
      </c>
      <c r="D155" s="9" t="str">
        <f t="shared" si="14"/>
        <v>MIL-001-1045</v>
      </c>
      <c r="E155" s="3" t="str">
        <f t="shared" si="15"/>
        <v>A2X6  MIL-001-1045</v>
      </c>
      <c r="F155" s="10" t="str">
        <f t="shared" si="16"/>
        <v>PCCN: CRGARM:-:PLISN: A2X6 :-:PCC: TIT :-: CAGE: 0UJB5:-:PART NUMBER: MIL-001-1045:-:NOMENCLATURE: BOOM SECTION,INNER,:-:PRICE: $4379.27:-:UNIQUE MODS: NO:-:PROPRIETARILY MFG FOR OEM: NO:-: :-: :-: :-: :-: NHA: MIL-001-396 :-: NHA NSN: 3810015663870</v>
      </c>
      <c r="G155" s="8" t="str">
        <f>IF([1]All!$B156="","",[1]All!$B156)</f>
        <v xml:space="preserve">A2X6 </v>
      </c>
      <c r="H155" s="8"/>
      <c r="I155" s="8" t="str">
        <f>IF([1]All!$D156=0,"",[1]All!$D156)</f>
        <v>E</v>
      </c>
      <c r="J155" s="8" t="str">
        <f>IF([1]All!$E156=0,"",[1]All!$E156)</f>
        <v>0UJB5</v>
      </c>
      <c r="K155" s="8" t="s">
        <v>120</v>
      </c>
      <c r="L155" s="11" t="str">
        <f>IF([1]All!$L156=0,"",[1]All!$L156)</f>
        <v>BOOM SECTION,INNER,</v>
      </c>
      <c r="M155" s="7" t="str">
        <f>IF([1]All!$AJ156=0,"",[1]All!$AJ156)</f>
        <v xml:space="preserve">AATY </v>
      </c>
      <c r="N155" s="7" t="str">
        <f>IF([1]All!$R156=0,"",[1]All!$R156)</f>
        <v/>
      </c>
      <c r="O155" s="7" t="str">
        <f>IF([1]All!$S156=0,"",[1]All!$S156)</f>
        <v/>
      </c>
      <c r="P155" s="7" t="str">
        <f>IF([1]All!$V156=0,"",[1]All!$V156)</f>
        <v>0000437927</v>
      </c>
      <c r="Q155" s="3" t="str">
        <f t="shared" si="17"/>
        <v>$4379.27</v>
      </c>
      <c r="R155" s="8" t="str">
        <f>IF([1]All!$F156=0,"",[1]All!$F156)</f>
        <v>MIL-001-1045</v>
      </c>
    </row>
    <row r="156" spans="1:18">
      <c r="A156" s="7"/>
      <c r="B156" s="3">
        <f t="shared" si="12"/>
        <v>69</v>
      </c>
      <c r="C156" s="3" t="str">
        <f t="shared" si="13"/>
        <v>E</v>
      </c>
      <c r="D156" s="9" t="str">
        <f t="shared" si="14"/>
        <v>MIL-001-1046</v>
      </c>
      <c r="E156" s="3" t="str">
        <f t="shared" si="15"/>
        <v>A232  MIL-001-1046</v>
      </c>
      <c r="F156" s="10" t="str">
        <f t="shared" si="16"/>
        <v>PCCN: CRGARM:-:PLISN: A232 :-:PCC: TIT :-: CAGE: 0UJB5:-:PART NUMBER: MIL-001-1046:-:NOMENCLATURE: BOOM SECTION:-:PRICE: $11886.29:-:UNIQUE MODS: NO:-:PROPRIETARILY MFG FOR OEM: NO:-: :-: :-: :-: :-: NHA: MIL-001-396 :-: NHA NSN: 3810015663870</v>
      </c>
      <c r="G156" s="8" t="str">
        <f>IF([1]All!$B157="","",[1]All!$B157)</f>
        <v xml:space="preserve">A232 </v>
      </c>
      <c r="H156" s="8"/>
      <c r="I156" s="8" t="str">
        <f>IF([1]All!$D157=0,"",[1]All!$D157)</f>
        <v>E</v>
      </c>
      <c r="J156" s="8" t="str">
        <f>IF([1]All!$E157=0,"",[1]All!$E157)</f>
        <v>0UJB5</v>
      </c>
      <c r="K156" s="8" t="s">
        <v>121</v>
      </c>
      <c r="L156" s="11" t="str">
        <f>IF([1]All!$L157=0,"",[1]All!$L157)</f>
        <v>BOOM SECTION</v>
      </c>
      <c r="M156" s="7" t="str">
        <f>IF([1]All!$AJ157=0,"",[1]All!$AJ157)</f>
        <v xml:space="preserve">AATY </v>
      </c>
      <c r="N156" s="7" t="str">
        <f>IF([1]All!$R157=0,"",[1]All!$R157)</f>
        <v/>
      </c>
      <c r="O156" s="7" t="str">
        <f>IF([1]All!$S157=0,"",[1]All!$S157)</f>
        <v/>
      </c>
      <c r="P156" s="7" t="str">
        <f>IF([1]All!$V157=0,"",[1]All!$V157)</f>
        <v>0001188629</v>
      </c>
      <c r="Q156" s="3" t="str">
        <f t="shared" si="17"/>
        <v>$11886.29</v>
      </c>
      <c r="R156" s="8" t="str">
        <f>IF([1]All!$F157=0,"",[1]All!$F157)</f>
        <v>MIL-001-1046</v>
      </c>
    </row>
    <row r="157" spans="1:18">
      <c r="A157" s="7"/>
      <c r="B157" s="3">
        <f t="shared" si="12"/>
        <v>69</v>
      </c>
      <c r="C157" s="3" t="str">
        <f t="shared" si="13"/>
        <v>E</v>
      </c>
      <c r="D157" s="9" t="str">
        <f t="shared" si="14"/>
        <v>MIL-001-1047</v>
      </c>
      <c r="E157" s="3" t="str">
        <f t="shared" si="15"/>
        <v>A29Y  MIL-001-1047</v>
      </c>
      <c r="F157" s="10" t="str">
        <f t="shared" si="16"/>
        <v>PCCN: CRGARM:-:PLISN: A29Y :-:PCC: TIT :-: CAGE: 0UJB5:-:PART NUMBER: MIL-001-1047:-:NOMENCLATURE: GUIDE SHOE:-:PRICE: $42.76:-:UNIQUE MODS: NO:-:PROPRIETARILY MFG FOR OEM: NO:-: :-: :-: :-: :-: NHA: MIL-001-396 :-: NHA NSN: 3810015663870</v>
      </c>
      <c r="G157" s="8" t="str">
        <f>IF([1]All!$B158="","",[1]All!$B158)</f>
        <v xml:space="preserve">A29Y </v>
      </c>
      <c r="H157" s="8"/>
      <c r="I157" s="8" t="str">
        <f>IF([1]All!$D158=0,"",[1]All!$D158)</f>
        <v>E</v>
      </c>
      <c r="J157" s="8" t="str">
        <f>IF([1]All!$E158=0,"",[1]All!$E158)</f>
        <v>0UJB5</v>
      </c>
      <c r="K157" s="8" t="s">
        <v>122</v>
      </c>
      <c r="L157" s="11" t="str">
        <f>IF([1]All!$L158=0,"",[1]All!$L158)</f>
        <v>GUIDE SHOE</v>
      </c>
      <c r="M157" s="7" t="str">
        <f>IF([1]All!$AJ158=0,"",[1]All!$AJ158)</f>
        <v xml:space="preserve">AATY </v>
      </c>
      <c r="N157" s="7" t="str">
        <f>IF([1]All!$R158=0,"",[1]All!$R158)</f>
        <v/>
      </c>
      <c r="O157" s="7" t="str">
        <f>IF([1]All!$S158=0,"",[1]All!$S158)</f>
        <v/>
      </c>
      <c r="P157" s="7" t="str">
        <f>IF([1]All!$V158=0,"",[1]All!$V158)</f>
        <v>0000004276</v>
      </c>
      <c r="Q157" s="3" t="str">
        <f t="shared" si="17"/>
        <v>$42.76</v>
      </c>
      <c r="R157" s="8" t="str">
        <f>IF([1]All!$F158=0,"",[1]All!$F158)</f>
        <v>MIL-001-1047</v>
      </c>
    </row>
    <row r="158" spans="1:18">
      <c r="A158" s="7"/>
      <c r="B158" s="3">
        <f t="shared" si="12"/>
        <v>69</v>
      </c>
      <c r="C158" s="3" t="str">
        <f t="shared" si="13"/>
        <v>E</v>
      </c>
      <c r="D158" s="9" t="str">
        <f t="shared" si="14"/>
        <v>MIL-001-1048</v>
      </c>
      <c r="E158" s="3" t="str">
        <f t="shared" si="15"/>
        <v>A3FU  MIL-001-1048</v>
      </c>
      <c r="F158" s="10" t="str">
        <f t="shared" si="16"/>
        <v>PCCN: CRGARM:-:PLISN: A3FU :-:PCC: TIT :-: CAGE: 0UJB5:-:PART NUMBER: MIL-001-1048:-:NOMENCLATURE: SHIM:-:PRICE: $46.90:-:UNIQUE MODS: NO:-:PROPRIETARILY MFG FOR OEM: NO:-: :-: :-: :-: :-: NHA: MIL-001-396 :-: NHA NSN: 3810015663870</v>
      </c>
      <c r="G158" s="8" t="str">
        <f>IF([1]All!$B159="","",[1]All!$B159)</f>
        <v xml:space="preserve">A3FU </v>
      </c>
      <c r="H158" s="8"/>
      <c r="I158" s="8" t="str">
        <f>IF([1]All!$D159=0,"",[1]All!$D159)</f>
        <v>E</v>
      </c>
      <c r="J158" s="8" t="str">
        <f>IF([1]All!$E159=0,"",[1]All!$E159)</f>
        <v>0UJB5</v>
      </c>
      <c r="K158" s="8" t="s">
        <v>123</v>
      </c>
      <c r="L158" s="11" t="str">
        <f>IF([1]All!$L159=0,"",[1]All!$L159)</f>
        <v>SHIM</v>
      </c>
      <c r="M158" s="7" t="str">
        <f>IF([1]All!$AJ159=0,"",[1]All!$AJ159)</f>
        <v xml:space="preserve">AATY </v>
      </c>
      <c r="N158" s="7" t="str">
        <f>IF([1]All!$R159=0,"",[1]All!$R159)</f>
        <v/>
      </c>
      <c r="O158" s="7" t="str">
        <f>IF([1]All!$S159=0,"",[1]All!$S159)</f>
        <v/>
      </c>
      <c r="P158" s="7" t="str">
        <f>IF([1]All!$V159=0,"",[1]All!$V159)</f>
        <v>0000004690</v>
      </c>
      <c r="Q158" s="3" t="str">
        <f t="shared" si="17"/>
        <v>$46.90</v>
      </c>
      <c r="R158" s="8" t="str">
        <f>IF([1]All!$F159=0,"",[1]All!$F159)</f>
        <v>MIL-001-1048</v>
      </c>
    </row>
    <row r="159" spans="1:18">
      <c r="A159" s="7"/>
      <c r="B159" s="3">
        <f t="shared" si="12"/>
        <v>69</v>
      </c>
      <c r="C159" s="3" t="str">
        <f t="shared" si="13"/>
        <v>E</v>
      </c>
      <c r="D159" s="9" t="str">
        <f t="shared" si="14"/>
        <v>91263A840</v>
      </c>
      <c r="E159" s="3" t="str">
        <f t="shared" si="15"/>
        <v>A3MQ  91263A840</v>
      </c>
      <c r="F159" s="10" t="str">
        <f t="shared" si="16"/>
        <v>PCCN: CRGARM:-:PLISN: A3MQ :-:PCC: TIT :-: CAGE: 39428:-:PART NUMBER: 91263A840:-:NOMENCLATURE: SCREW:-:PRICE: $0.12:-:UNIQUE MODS: NO:-:PROPRIETARILY MFG FOR OEM: NO:-: :-: :-: :-: :-: NHA: MIL-001-396 :-: NHA NSN: 3810015663870</v>
      </c>
      <c r="G159" s="8" t="str">
        <f>IF([1]All!$B160="","",[1]All!$B160)</f>
        <v xml:space="preserve">A3MQ </v>
      </c>
      <c r="H159" s="8"/>
      <c r="I159" s="8" t="str">
        <f>IF([1]All!$D160=0,"",[1]All!$D160)</f>
        <v>E</v>
      </c>
      <c r="J159" s="8" t="str">
        <f>IF([1]All!$E160=0,"",[1]All!$E160)</f>
        <v>39428</v>
      </c>
      <c r="K159" s="8" t="s">
        <v>393</v>
      </c>
      <c r="L159" s="11" t="str">
        <f>IF([1]All!$L160=0,"",[1]All!$L160)</f>
        <v>SCREW</v>
      </c>
      <c r="M159" s="7" t="str">
        <f>IF([1]All!$AJ160=0,"",[1]All!$AJ160)</f>
        <v xml:space="preserve">AATY </v>
      </c>
      <c r="N159" s="7" t="str">
        <f>IF([1]All!$R160=0,"",[1]All!$R160)</f>
        <v/>
      </c>
      <c r="O159" s="7" t="str">
        <f>IF([1]All!$S160=0,"",[1]All!$S160)</f>
        <v/>
      </c>
      <c r="P159" s="7" t="str">
        <f>IF([1]All!$V160=0,"",[1]All!$V160)</f>
        <v>0000000012</v>
      </c>
      <c r="Q159" s="3" t="str">
        <f t="shared" si="17"/>
        <v>$0.12</v>
      </c>
      <c r="R159" s="8" t="str">
        <f>IF([1]All!$F160=0,"",[1]All!$F160)</f>
        <v>91263A840</v>
      </c>
    </row>
    <row r="160" spans="1:18">
      <c r="A160" s="7"/>
      <c r="B160" s="3">
        <f t="shared" si="12"/>
        <v>69</v>
      </c>
      <c r="C160" s="3" t="str">
        <f t="shared" si="13"/>
        <v>E</v>
      </c>
      <c r="D160" s="9" t="str">
        <f t="shared" si="14"/>
        <v>RP201</v>
      </c>
      <c r="E160" s="3" t="str">
        <f t="shared" si="15"/>
        <v>A3ZG  RP201</v>
      </c>
      <c r="F160" s="10" t="str">
        <f t="shared" si="16"/>
        <v>PCCN: CRGARM:-:PLISN: A3ZG :-:PCC: TIT :-: CAGE: 0UJB5:-:PART NUMBER: RP201:-:NOMENCLATURE: WASHER,FLAT:-:PRICE: $4.23:-:UNIQUE MODS: NO:-:PROPRIETARILY MFG FOR OEM: NO:-: :-: :-: :-:NSN: 5310015469032 :-: NHA: MIL-001-396 :-: NHA NSN: 3810015663870</v>
      </c>
      <c r="G160" s="8" t="str">
        <f>IF([1]All!$B161="","",[1]All!$B161)</f>
        <v xml:space="preserve">A3ZG </v>
      </c>
      <c r="H160" s="8"/>
      <c r="I160" s="8" t="str">
        <f>IF([1]All!$D161=0,"",[1]All!$D161)</f>
        <v>E</v>
      </c>
      <c r="J160" s="8" t="str">
        <f>IF([1]All!$E161=0,"",[1]All!$E161)</f>
        <v>0UJB5</v>
      </c>
      <c r="K160" s="8" t="s">
        <v>26</v>
      </c>
      <c r="L160" s="11" t="str">
        <f>IF([1]All!$L161=0,"",[1]All!$L161)</f>
        <v>WASHER,FLAT</v>
      </c>
      <c r="M160" s="7" t="str">
        <f>IF([1]All!$AJ161=0,"",[1]All!$AJ161)</f>
        <v xml:space="preserve">AATY </v>
      </c>
      <c r="N160" s="7" t="str">
        <f>IF([1]All!$R161=0,"",[1]All!$R161)</f>
        <v>5310</v>
      </c>
      <c r="O160" s="7" t="str">
        <f>IF([1]All!$S161=0,"",[1]All!$S161)</f>
        <v>015469032</v>
      </c>
      <c r="P160" s="7" t="str">
        <f>IF([1]All!$V161=0,"",[1]All!$V161)</f>
        <v>0000000423</v>
      </c>
      <c r="Q160" s="3" t="str">
        <f t="shared" si="17"/>
        <v>$4.23</v>
      </c>
      <c r="R160" s="8" t="str">
        <f>IF([1]All!$F161=0,"",[1]All!$F161)</f>
        <v>RP201</v>
      </c>
    </row>
    <row r="161" spans="1:18">
      <c r="A161" s="7"/>
      <c r="B161" s="3">
        <f t="shared" si="12"/>
        <v>69</v>
      </c>
      <c r="C161" s="3" t="str">
        <f t="shared" si="13"/>
        <v>E</v>
      </c>
      <c r="D161" s="9" t="str">
        <f t="shared" si="14"/>
        <v>94645A205</v>
      </c>
      <c r="E161" s="3" t="str">
        <f t="shared" si="15"/>
        <v>A35C  94645A205</v>
      </c>
      <c r="F161" s="10" t="str">
        <f t="shared" si="16"/>
        <v>PCCN: CRGARM:-:PLISN: A35C :-:PCC: TIT :-: CAGE: 39428:-:PART NUMBER: 94645A205:-:NOMENCLATURE: NUT,SELF-LOCKING,SI:-:PRICE: $0.19:-:UNIQUE MODS: NO:-:PROPRIETARILY MFG FOR OEM: NO:-: :-: :-: :-:NSN: 5310015878241 :-: NHA: MIL-001-396 :-: NHA NSN: 3810015663870</v>
      </c>
      <c r="G161" s="8" t="str">
        <f>IF([1]All!$B162="","",[1]All!$B162)</f>
        <v xml:space="preserve">A35C </v>
      </c>
      <c r="H161" s="8"/>
      <c r="I161" s="8" t="str">
        <f>IF([1]All!$D162=0,"",[1]All!$D162)</f>
        <v>E</v>
      </c>
      <c r="J161" s="8" t="str">
        <f>IF([1]All!$E162=0,"",[1]All!$E162)</f>
        <v>39428</v>
      </c>
      <c r="K161" s="8" t="s">
        <v>394</v>
      </c>
      <c r="L161" s="11" t="str">
        <f>IF([1]All!$L162=0,"",[1]All!$L162)</f>
        <v>NUT,SELF-LOCKING,SI</v>
      </c>
      <c r="M161" s="7" t="str">
        <f>IF([1]All!$AJ162=0,"",[1]All!$AJ162)</f>
        <v xml:space="preserve">AATY </v>
      </c>
      <c r="N161" s="7" t="str">
        <f>IF([1]All!$R162=0,"",[1]All!$R162)</f>
        <v>5310</v>
      </c>
      <c r="O161" s="7" t="str">
        <f>IF([1]All!$S162=0,"",[1]All!$S162)</f>
        <v>015878241</v>
      </c>
      <c r="P161" s="7" t="str">
        <f>IF([1]All!$V162=0,"",[1]All!$V162)</f>
        <v>0000000019</v>
      </c>
      <c r="Q161" s="3" t="str">
        <f t="shared" si="17"/>
        <v>$0.19</v>
      </c>
      <c r="R161" s="8" t="str">
        <f>IF([1]All!$F162=0,"",[1]All!$F162)</f>
        <v>94645A205</v>
      </c>
    </row>
    <row r="162" spans="1:18">
      <c r="A162" s="7"/>
      <c r="B162" s="3">
        <f t="shared" si="12"/>
        <v>69</v>
      </c>
      <c r="C162" s="3" t="str">
        <f t="shared" si="13"/>
        <v>E</v>
      </c>
      <c r="D162" s="9" t="str">
        <f t="shared" si="14"/>
        <v>0141391</v>
      </c>
      <c r="E162" s="3" t="str">
        <f t="shared" si="15"/>
        <v>A4A8  0141391</v>
      </c>
      <c r="F162" s="10" t="str">
        <f t="shared" si="16"/>
        <v>PCCN: CRGARM:-:PLISN: A4A8 :-:PCC: TIT :-: CAGE: 0Y3H3:-:PART NUMBER: 0141391:-:NOMENCLATURE: SCREW:-:PRICE: $0.42:-:UNIQUE MODS: NO:-:PROPRIETARILY MFG FOR OEM: NO:-: :-: :-: :-: :-: NHA: MIL-001-396 :-: NHA NSN: 3810015663870</v>
      </c>
      <c r="G162" s="8" t="str">
        <f>IF([1]All!$B163="","",[1]All!$B163)</f>
        <v xml:space="preserve">A4A8 </v>
      </c>
      <c r="H162" s="8"/>
      <c r="I162" s="8" t="str">
        <f>IF([1]All!$D163=0,"",[1]All!$D163)</f>
        <v>E</v>
      </c>
      <c r="J162" s="8" t="str">
        <f>IF([1]All!$E163=0,"",[1]All!$E163)</f>
        <v>0Y3H3</v>
      </c>
      <c r="K162" s="8" t="s">
        <v>395</v>
      </c>
      <c r="L162" s="11" t="str">
        <f>IF([1]All!$L163=0,"",[1]All!$L163)</f>
        <v>SCREW</v>
      </c>
      <c r="M162" s="7" t="str">
        <f>IF([1]All!$AJ163=0,"",[1]All!$AJ163)</f>
        <v xml:space="preserve">AATY </v>
      </c>
      <c r="N162" s="7" t="str">
        <f>IF([1]All!$R163=0,"",[1]All!$R163)</f>
        <v/>
      </c>
      <c r="O162" s="7" t="str">
        <f>IF([1]All!$S163=0,"",[1]All!$S163)</f>
        <v/>
      </c>
      <c r="P162" s="7" t="str">
        <f>IF([1]All!$V163=0,"",[1]All!$V163)</f>
        <v>0000000042</v>
      </c>
      <c r="Q162" s="3" t="str">
        <f t="shared" si="17"/>
        <v>$0.42</v>
      </c>
      <c r="R162" s="8" t="str">
        <f>IF([1]All!$F163=0,"",[1]All!$F163)</f>
        <v>0141391</v>
      </c>
    </row>
    <row r="163" spans="1:18">
      <c r="A163" s="7"/>
      <c r="B163" s="3">
        <f t="shared" si="12"/>
        <v>69</v>
      </c>
      <c r="C163" s="3" t="str">
        <f t="shared" si="13"/>
        <v>E</v>
      </c>
      <c r="D163" s="9" t="str">
        <f t="shared" si="14"/>
        <v>MIL-001-1050</v>
      </c>
      <c r="E163" s="3" t="str">
        <f t="shared" si="15"/>
        <v>A4G4  MIL-001-1050</v>
      </c>
      <c r="F163" s="10" t="str">
        <f t="shared" si="16"/>
        <v>PCCN: CRGARM:-:PLISN: A4G4 :-:PCC: TIT :-: CAGE: 0UJB5:-:PART NUMBER: MIL-001-1050:-:NOMENCLATURE: GUIDE:-:PRICE: $42.76:-:UNIQUE MODS: NO:-:PROPRIETARILY MFG FOR OEM: NO:-: :-: :-: :-: :-: NHA: MIL-001-396 :-: NHA NSN: 3810015663870</v>
      </c>
      <c r="G163" s="8" t="str">
        <f>IF([1]All!$B164="","",[1]All!$B164)</f>
        <v xml:space="preserve">A4G4 </v>
      </c>
      <c r="H163" s="8"/>
      <c r="I163" s="8" t="str">
        <f>IF([1]All!$D164=0,"",[1]All!$D164)</f>
        <v>E</v>
      </c>
      <c r="J163" s="8" t="str">
        <f>IF([1]All!$E164=0,"",[1]All!$E164)</f>
        <v>0UJB5</v>
      </c>
      <c r="K163" s="8" t="s">
        <v>124</v>
      </c>
      <c r="L163" s="11" t="str">
        <f>IF([1]All!$L164=0,"",[1]All!$L164)</f>
        <v>GUIDE</v>
      </c>
      <c r="M163" s="7" t="str">
        <f>IF([1]All!$AJ164=0,"",[1]All!$AJ164)</f>
        <v xml:space="preserve">AATY </v>
      </c>
      <c r="N163" s="7" t="str">
        <f>IF([1]All!$R164=0,"",[1]All!$R164)</f>
        <v/>
      </c>
      <c r="O163" s="7" t="str">
        <f>IF([1]All!$S164=0,"",[1]All!$S164)</f>
        <v/>
      </c>
      <c r="P163" s="7" t="str">
        <f>IF([1]All!$V164=0,"",[1]All!$V164)</f>
        <v>0000004276</v>
      </c>
      <c r="Q163" s="3" t="str">
        <f t="shared" si="17"/>
        <v>$42.76</v>
      </c>
      <c r="R163" s="8" t="str">
        <f>IF([1]All!$F164=0,"",[1]All!$F164)</f>
        <v>MIL-001-1050</v>
      </c>
    </row>
    <row r="164" spans="1:18">
      <c r="A164" s="7"/>
      <c r="B164" s="3">
        <f t="shared" si="12"/>
        <v>69</v>
      </c>
      <c r="C164" s="3" t="str">
        <f t="shared" si="13"/>
        <v>E</v>
      </c>
      <c r="D164" s="9" t="str">
        <f t="shared" si="14"/>
        <v>MIL-001-1051</v>
      </c>
      <c r="E164" s="3" t="str">
        <f t="shared" si="15"/>
        <v>A4N0  MIL-001-1051</v>
      </c>
      <c r="F164" s="10" t="str">
        <f t="shared" si="16"/>
        <v>PCCN: CRGARM:-:PLISN: A4N0 :-:PCC: TIT :-: CAGE: 0UJB5:-:PART NUMBER: MIL-001-1051:-:NOMENCLATURE: SHIM:-:PRICE: $9.73:-:UNIQUE MODS: NO:-:PROPRIETARILY MFG FOR OEM: NO:-: :-: :-: :-: :-: NHA: MIL-001-396 :-: NHA NSN: 3810015663870</v>
      </c>
      <c r="G164" s="8" t="str">
        <f>IF([1]All!$B165="","",[1]All!$B165)</f>
        <v xml:space="preserve">A4N0 </v>
      </c>
      <c r="H164" s="8"/>
      <c r="I164" s="8" t="str">
        <f>IF([1]All!$D165=0,"",[1]All!$D165)</f>
        <v>E</v>
      </c>
      <c r="J164" s="8" t="str">
        <f>IF([1]All!$E165=0,"",[1]All!$E165)</f>
        <v>0UJB5</v>
      </c>
      <c r="K164" s="8" t="s">
        <v>125</v>
      </c>
      <c r="L164" s="11" t="str">
        <f>IF([1]All!$L165=0,"",[1]All!$L165)</f>
        <v>SHIM</v>
      </c>
      <c r="M164" s="7" t="str">
        <f>IF([1]All!$AJ165=0,"",[1]All!$AJ165)</f>
        <v xml:space="preserve">AATY </v>
      </c>
      <c r="N164" s="7" t="str">
        <f>IF([1]All!$R165=0,"",[1]All!$R165)</f>
        <v/>
      </c>
      <c r="O164" s="7" t="str">
        <f>IF([1]All!$S165=0,"",[1]All!$S165)</f>
        <v/>
      </c>
      <c r="P164" s="7" t="str">
        <f>IF([1]All!$V165=0,"",[1]All!$V165)</f>
        <v>0000000973</v>
      </c>
      <c r="Q164" s="3" t="str">
        <f t="shared" si="17"/>
        <v>$9.73</v>
      </c>
      <c r="R164" s="8" t="str">
        <f>IF([1]All!$F165=0,"",[1]All!$F165)</f>
        <v>MIL-001-1051</v>
      </c>
    </row>
    <row r="165" spans="1:18">
      <c r="A165" s="7"/>
      <c r="B165" s="3">
        <f t="shared" si="12"/>
        <v>69</v>
      </c>
      <c r="C165" s="3" t="str">
        <f t="shared" si="13"/>
        <v>E</v>
      </c>
      <c r="D165" s="9" t="str">
        <f t="shared" si="14"/>
        <v>MIL-001-1052</v>
      </c>
      <c r="E165" s="3" t="str">
        <f t="shared" si="15"/>
        <v>A4UW  MIL-001-1052</v>
      </c>
      <c r="F165" s="10" t="str">
        <f t="shared" si="16"/>
        <v>PCCN: CRGARM:-:PLISN: A4UW :-:PCC: TIT :-: CAGE: 0UJB5:-:PART NUMBER: MIL-001-1052:-:NOMENCLATURE: BOOM SECTION:-:PRICE: $1824.70:-:UNIQUE MODS: NO:-:PROPRIETARILY MFG FOR OEM: NO:-: :-: :-: :-: :-: NHA: MIL-001-396 :-: NHA NSN: 3810015663870</v>
      </c>
      <c r="G165" s="8" t="str">
        <f>IF([1]All!$B166="","",[1]All!$B166)</f>
        <v xml:space="preserve">A4UW </v>
      </c>
      <c r="H165" s="8"/>
      <c r="I165" s="8" t="str">
        <f>IF([1]All!$D166=0,"",[1]All!$D166)</f>
        <v>E</v>
      </c>
      <c r="J165" s="8" t="str">
        <f>IF([1]All!$E166=0,"",[1]All!$E166)</f>
        <v>0UJB5</v>
      </c>
      <c r="K165" s="8" t="s">
        <v>126</v>
      </c>
      <c r="L165" s="11" t="str">
        <f>IF([1]All!$L166=0,"",[1]All!$L166)</f>
        <v>BOOM SECTION</v>
      </c>
      <c r="M165" s="7" t="str">
        <f>IF([1]All!$AJ166=0,"",[1]All!$AJ166)</f>
        <v xml:space="preserve">AATY </v>
      </c>
      <c r="N165" s="7" t="str">
        <f>IF([1]All!$R166=0,"",[1]All!$R166)</f>
        <v/>
      </c>
      <c r="O165" s="7" t="str">
        <f>IF([1]All!$S166=0,"",[1]All!$S166)</f>
        <v/>
      </c>
      <c r="P165" s="7" t="str">
        <f>IF([1]All!$V166=0,"",[1]All!$V166)</f>
        <v>0000182470</v>
      </c>
      <c r="Q165" s="3" t="str">
        <f t="shared" si="17"/>
        <v>$1824.70</v>
      </c>
      <c r="R165" s="8" t="str">
        <f>IF([1]All!$F166=0,"",[1]All!$F166)</f>
        <v>MIL-001-1052</v>
      </c>
    </row>
    <row r="166" spans="1:18">
      <c r="A166" s="7"/>
      <c r="B166" s="3">
        <f t="shared" si="12"/>
        <v>69</v>
      </c>
      <c r="C166" s="3" t="str">
        <f t="shared" si="13"/>
        <v>E</v>
      </c>
      <c r="D166" s="9" t="str">
        <f t="shared" si="14"/>
        <v>MIL-001-1053</v>
      </c>
      <c r="E166" s="3" t="str">
        <f t="shared" si="15"/>
        <v>A40S  MIL-001-1053</v>
      </c>
      <c r="F166" s="10" t="str">
        <f t="shared" si="16"/>
        <v>PCCN: CRGARM:-:PLISN: A40S :-:PCC: TIT :-: CAGE: 0UJB5:-:PART NUMBER: MIL-001-1053:-:NOMENCLATURE: SHIM:-:PRICE: $40.39:-:UNIQUE MODS: NO:-:PROPRIETARILY MFG FOR OEM: NO:-: :-: :-: :-: :-: NHA: MIL-001-396 :-: NHA NSN: 3810015663870</v>
      </c>
      <c r="G166" s="8" t="str">
        <f>IF([1]All!$B167="","",[1]All!$B167)</f>
        <v xml:space="preserve">A40S </v>
      </c>
      <c r="H166" s="8"/>
      <c r="I166" s="8" t="str">
        <f>IF([1]All!$D167=0,"",[1]All!$D167)</f>
        <v>E</v>
      </c>
      <c r="J166" s="8" t="str">
        <f>IF([1]All!$E167=0,"",[1]All!$E167)</f>
        <v>0UJB5</v>
      </c>
      <c r="K166" s="8" t="s">
        <v>127</v>
      </c>
      <c r="L166" s="11" t="str">
        <f>IF([1]All!$L167=0,"",[1]All!$L167)</f>
        <v>SHIM</v>
      </c>
      <c r="M166" s="7" t="str">
        <f>IF([1]All!$AJ167=0,"",[1]All!$AJ167)</f>
        <v xml:space="preserve">AATY </v>
      </c>
      <c r="N166" s="7" t="str">
        <f>IF([1]All!$R167=0,"",[1]All!$R167)</f>
        <v/>
      </c>
      <c r="O166" s="7" t="str">
        <f>IF([1]All!$S167=0,"",[1]All!$S167)</f>
        <v/>
      </c>
      <c r="P166" s="7" t="str">
        <f>IF([1]All!$V167=0,"",[1]All!$V167)</f>
        <v>0000004039</v>
      </c>
      <c r="Q166" s="3" t="str">
        <f t="shared" si="17"/>
        <v>$40.39</v>
      </c>
      <c r="R166" s="8" t="str">
        <f>IF([1]All!$F167=0,"",[1]All!$F167)</f>
        <v>MIL-001-1053</v>
      </c>
    </row>
    <row r="167" spans="1:18">
      <c r="A167" s="7"/>
      <c r="B167" s="3">
        <f t="shared" si="12"/>
        <v>69</v>
      </c>
      <c r="C167" s="3" t="str">
        <f t="shared" si="13"/>
        <v>E</v>
      </c>
      <c r="D167" s="9" t="str">
        <f t="shared" si="14"/>
        <v>98035A104</v>
      </c>
      <c r="E167" s="3" t="str">
        <f t="shared" si="15"/>
        <v>A5CJ  98035A104</v>
      </c>
      <c r="F167" s="10" t="str">
        <f t="shared" si="16"/>
        <v>PCCN: CRGARM:-:PLISN: A5CJ :-:PCC: TIT :-: CAGE: 39428:-:PART NUMBER: 98035A104:-:NOMENCLATURE: WASHER,FLAT:-:PRICE: $0.54:-:UNIQUE MODS: NO:-:PROPRIETARILY MFG FOR OEM: NO:-: :-: :-: :-: :-: NHA: MIL-001-396 :-: NHA NSN: 3810015663870</v>
      </c>
      <c r="G167" s="8" t="str">
        <f>IF([1]All!$B168="","",[1]All!$B168)</f>
        <v xml:space="preserve">A5CJ </v>
      </c>
      <c r="H167" s="8"/>
      <c r="I167" s="8" t="str">
        <f>IF([1]All!$D168=0,"",[1]All!$D168)</f>
        <v>E</v>
      </c>
      <c r="J167" s="8" t="str">
        <f>IF([1]All!$E168=0,"",[1]All!$E168)</f>
        <v>39428</v>
      </c>
      <c r="K167" s="8" t="s">
        <v>396</v>
      </c>
      <c r="L167" s="11" t="str">
        <f>IF([1]All!$L168=0,"",[1]All!$L168)</f>
        <v>WASHER,FLAT</v>
      </c>
      <c r="M167" s="7" t="str">
        <f>IF([1]All!$AJ168=0,"",[1]All!$AJ168)</f>
        <v xml:space="preserve">AATY </v>
      </c>
      <c r="N167" s="7" t="str">
        <f>IF([1]All!$R168=0,"",[1]All!$R168)</f>
        <v/>
      </c>
      <c r="O167" s="7" t="str">
        <f>IF([1]All!$S168=0,"",[1]All!$S168)</f>
        <v/>
      </c>
      <c r="P167" s="7" t="str">
        <f>IF([1]All!$V168=0,"",[1]All!$V168)</f>
        <v>0000000054</v>
      </c>
      <c r="Q167" s="3" t="str">
        <f t="shared" si="17"/>
        <v>$0.54</v>
      </c>
      <c r="R167" s="8" t="str">
        <f>IF([1]All!$F168=0,"",[1]All!$F168)</f>
        <v>98035A104</v>
      </c>
    </row>
    <row r="168" spans="1:18">
      <c r="A168" s="7"/>
      <c r="B168" s="3">
        <f t="shared" si="12"/>
        <v>69</v>
      </c>
      <c r="C168" s="3" t="str">
        <f t="shared" si="13"/>
        <v>E</v>
      </c>
      <c r="D168" s="9" t="str">
        <f t="shared" si="14"/>
        <v>91280A322</v>
      </c>
      <c r="E168" s="3" t="str">
        <f t="shared" si="15"/>
        <v>A5JE  91280A322</v>
      </c>
      <c r="F168" s="10" t="str">
        <f t="shared" si="16"/>
        <v>PCCN: CRGARM:-:PLISN: A5JE :-:PCC: TIT :-: CAGE: 39428:-:PART NUMBER: 91280A322:-:NOMENCLATURE: SCREW, CAP, HEXAGON:-:PRICE: $0.16:-:UNIQUE MODS: NO:-:PROPRIETARILY MFG FOR OEM: NO:-: :-: :-: :-:NSN: 5305014467915 :-: NHA: MIL-001-396 :-: NHA NSN: 3810015663870</v>
      </c>
      <c r="G168" s="8" t="str">
        <f>IF([1]All!$B169="","",[1]All!$B169)</f>
        <v xml:space="preserve">A5JE </v>
      </c>
      <c r="H168" s="8"/>
      <c r="I168" s="8" t="str">
        <f>IF([1]All!$D169=0,"",[1]All!$D169)</f>
        <v>E</v>
      </c>
      <c r="J168" s="8" t="str">
        <f>IF([1]All!$E169=0,"",[1]All!$E169)</f>
        <v>39428</v>
      </c>
      <c r="K168" s="8" t="s">
        <v>397</v>
      </c>
      <c r="L168" s="11" t="str">
        <f>IF([1]All!$L169=0,"",[1]All!$L169)</f>
        <v>SCREW, CAP, HEXAGON</v>
      </c>
      <c r="M168" s="7" t="str">
        <f>IF([1]All!$AJ169=0,"",[1]All!$AJ169)</f>
        <v xml:space="preserve">AATY </v>
      </c>
      <c r="N168" s="7" t="str">
        <f>IF([1]All!$R169=0,"",[1]All!$R169)</f>
        <v>5305</v>
      </c>
      <c r="O168" s="7" t="str">
        <f>IF([1]All!$S169=0,"",[1]All!$S169)</f>
        <v>014467915</v>
      </c>
      <c r="P168" s="7" t="str">
        <f>IF([1]All!$V169=0,"",[1]All!$V169)</f>
        <v>0000000016</v>
      </c>
      <c r="Q168" s="3" t="str">
        <f t="shared" si="17"/>
        <v>$0.16</v>
      </c>
      <c r="R168" s="8" t="str">
        <f>IF([1]All!$F169=0,"",[1]All!$F169)</f>
        <v>91280A322</v>
      </c>
    </row>
    <row r="169" spans="1:18">
      <c r="A169" s="7"/>
      <c r="B169" s="3">
        <f t="shared" si="12"/>
        <v>69</v>
      </c>
      <c r="C169" s="3" t="str">
        <f t="shared" si="13"/>
        <v>E</v>
      </c>
      <c r="D169" s="9" t="str">
        <f t="shared" si="14"/>
        <v>MIL-002-192</v>
      </c>
      <c r="E169" s="3" t="str">
        <f t="shared" si="15"/>
        <v>A512  MIL-002-192</v>
      </c>
      <c r="F169" s="10" t="str">
        <f t="shared" si="16"/>
        <v>PCCN: CRGARM:-:PLISN: A512 :-:PCC: TIT :-: CAGE: 0UJB5:-:PART NUMBER: MIL-002-192:-:NOMENCLATURE: NIPPLE,TUBE:-:PRICE: $12.02:-:UNIQUE MODS: NO:-:PROPRIETARILY MFG FOR OEM: NO:-: :-: :-: :-: :-: NHA: MIL-001-396 :-: NHA NSN: 3810015663870</v>
      </c>
      <c r="G169" s="8" t="str">
        <f>IF([1]All!$B170="","",[1]All!$B170)</f>
        <v xml:space="preserve">A512 </v>
      </c>
      <c r="H169" s="8"/>
      <c r="I169" s="8" t="str">
        <f>IF([1]All!$D170=0,"",[1]All!$D170)</f>
        <v>E</v>
      </c>
      <c r="J169" s="8" t="str">
        <f>IF([1]All!$E170=0,"",[1]All!$E170)</f>
        <v>0UJB5</v>
      </c>
      <c r="K169" s="8" t="s">
        <v>128</v>
      </c>
      <c r="L169" s="11" t="str">
        <f>IF([1]All!$L170=0,"",[1]All!$L170)</f>
        <v>NIPPLE,TUBE</v>
      </c>
      <c r="M169" s="7" t="str">
        <f>IF([1]All!$AJ170=0,"",[1]All!$AJ170)</f>
        <v xml:space="preserve">AATY </v>
      </c>
      <c r="N169" s="7" t="str">
        <f>IF([1]All!$R170=0,"",[1]All!$R170)</f>
        <v/>
      </c>
      <c r="O169" s="7" t="str">
        <f>IF([1]All!$S170=0,"",[1]All!$S170)</f>
        <v/>
      </c>
      <c r="P169" s="7" t="str">
        <f>IF([1]All!$V170=0,"",[1]All!$V170)</f>
        <v>0000001202</v>
      </c>
      <c r="Q169" s="3" t="str">
        <f t="shared" si="17"/>
        <v>$12.02</v>
      </c>
      <c r="R169" s="8" t="str">
        <f>IF([1]All!$F170=0,"",[1]All!$F170)</f>
        <v>MIL-002-192</v>
      </c>
    </row>
    <row r="170" spans="1:18">
      <c r="A170" s="7"/>
      <c r="B170" s="3">
        <f t="shared" si="12"/>
        <v>69</v>
      </c>
      <c r="C170" s="3" t="str">
        <f t="shared" si="13"/>
        <v>E</v>
      </c>
      <c r="D170" s="9" t="str">
        <f t="shared" si="14"/>
        <v>MIL-001-1054</v>
      </c>
      <c r="E170" s="3" t="str">
        <f t="shared" si="15"/>
        <v>A57Y  MIL-001-1054</v>
      </c>
      <c r="F170" s="10" t="str">
        <f t="shared" si="16"/>
        <v>PCCN: CRGARM:-:PLISN: A57Y :-:PCC: TIT :-: CAGE: 0UJB5:-:PART NUMBER: MIL-001-1054:-:NOMENCLATURE: SLEEVE,HOSE PROTECT:-:PRICE: $20.07:-:UNIQUE MODS: NO:-:PROPRIETARILY MFG FOR OEM: NO:-: :-: :-: :-: :-: NHA: MIL-001-396 :-: NHA NSN: 3810015663870</v>
      </c>
      <c r="G170" s="8" t="str">
        <f>IF([1]All!$B171="","",[1]All!$B171)</f>
        <v xml:space="preserve">A57Y </v>
      </c>
      <c r="H170" s="8"/>
      <c r="I170" s="8" t="str">
        <f>IF([1]All!$D171=0,"",[1]All!$D171)</f>
        <v>E</v>
      </c>
      <c r="J170" s="8" t="str">
        <f>IF([1]All!$E171=0,"",[1]All!$E171)</f>
        <v>0UJB5</v>
      </c>
      <c r="K170" s="8" t="s">
        <v>129</v>
      </c>
      <c r="L170" s="11" t="str">
        <f>IF([1]All!$L171=0,"",[1]All!$L171)</f>
        <v>SLEEVE,HOSE PROTECT</v>
      </c>
      <c r="M170" s="7" t="str">
        <f>IF([1]All!$AJ171=0,"",[1]All!$AJ171)</f>
        <v xml:space="preserve">AATY </v>
      </c>
      <c r="N170" s="7" t="str">
        <f>IF([1]All!$R171=0,"",[1]All!$R171)</f>
        <v/>
      </c>
      <c r="O170" s="7" t="str">
        <f>IF([1]All!$S171=0,"",[1]All!$S171)</f>
        <v/>
      </c>
      <c r="P170" s="7" t="str">
        <f>IF([1]All!$V171=0,"",[1]All!$V171)</f>
        <v>0000002007</v>
      </c>
      <c r="Q170" s="3" t="str">
        <f t="shared" si="17"/>
        <v>$20.07</v>
      </c>
      <c r="R170" s="8" t="str">
        <f>IF([1]All!$F171=0,"",[1]All!$F171)</f>
        <v>MIL-001-1054</v>
      </c>
    </row>
    <row r="171" spans="1:18">
      <c r="A171" s="7"/>
      <c r="B171" s="3">
        <f t="shared" si="12"/>
        <v>69</v>
      </c>
      <c r="C171" s="3" t="str">
        <f t="shared" si="13"/>
        <v>E</v>
      </c>
      <c r="D171" s="9" t="str">
        <f t="shared" si="14"/>
        <v>MIL-001-1055</v>
      </c>
      <c r="E171" s="3" t="str">
        <f t="shared" si="15"/>
        <v>A6DU  MIL-001-1055</v>
      </c>
      <c r="F171" s="10" t="str">
        <f t="shared" si="16"/>
        <v>PCCN: CRGARM:-:PLISN: A6DU :-:PCC: TIT :-: CAGE: 0UJB5:-:PART NUMBER: MIL-001-1055:-:NOMENCLATURE: SLEEVE,HOSE PROTECT:-:PRICE: $85.00:-:UNIQUE MODS: NO:-:PROPRIETARILY MFG FOR OEM: NO:-: :-: :-: :-: :-: NHA: MIL-001-396 :-: NHA NSN: 3810015663870</v>
      </c>
      <c r="G171" s="8" t="str">
        <f>IF([1]All!$B172="","",[1]All!$B172)</f>
        <v xml:space="preserve">A6DU </v>
      </c>
      <c r="H171" s="8"/>
      <c r="I171" s="8" t="str">
        <f>IF([1]All!$D172=0,"",[1]All!$D172)</f>
        <v>E</v>
      </c>
      <c r="J171" s="8" t="str">
        <f>IF([1]All!$E172=0,"",[1]All!$E172)</f>
        <v>0UJB5</v>
      </c>
      <c r="K171" s="8" t="s">
        <v>130</v>
      </c>
      <c r="L171" s="11" t="str">
        <f>IF([1]All!$L172=0,"",[1]All!$L172)</f>
        <v>SLEEVE,HOSE PROTECT</v>
      </c>
      <c r="M171" s="7" t="str">
        <f>IF([1]All!$AJ172=0,"",[1]All!$AJ172)</f>
        <v xml:space="preserve">AATY </v>
      </c>
      <c r="N171" s="7" t="str">
        <f>IF([1]All!$R172=0,"",[1]All!$R172)</f>
        <v/>
      </c>
      <c r="O171" s="7" t="str">
        <f>IF([1]All!$S172=0,"",[1]All!$S172)</f>
        <v/>
      </c>
      <c r="P171" s="7" t="str">
        <f>IF([1]All!$V172=0,"",[1]All!$V172)</f>
        <v>0000008500</v>
      </c>
      <c r="Q171" s="3" t="str">
        <f t="shared" si="17"/>
        <v>$85.00</v>
      </c>
      <c r="R171" s="8" t="str">
        <f>IF([1]All!$F172=0,"",[1]All!$F172)</f>
        <v>MIL-001-1055</v>
      </c>
    </row>
    <row r="172" spans="1:18">
      <c r="A172" s="7"/>
      <c r="B172" s="3">
        <f t="shared" si="12"/>
        <v>69</v>
      </c>
      <c r="C172" s="3" t="str">
        <f t="shared" si="13"/>
        <v>E</v>
      </c>
      <c r="D172" s="9" t="str">
        <f t="shared" si="14"/>
        <v>MIL-001-1056</v>
      </c>
      <c r="E172" s="3" t="str">
        <f t="shared" si="15"/>
        <v>A6KQ  MIL-001-1056</v>
      </c>
      <c r="F172" s="10" t="str">
        <f t="shared" si="16"/>
        <v>PCCN: CRGARM:-:PLISN: A6KQ :-:PCC: TIT :-: CAGE: 0UJB5:-:PART NUMBER: MIL-001-1056:-:NOMENCLATURE: SLEEVE,HOSE PROTECT:-:PRICE: $85.00:-:UNIQUE MODS: NO:-:PROPRIETARILY MFG FOR OEM: NO:-: :-: :-: :-: :-: NHA: MIL-001-396 :-: NHA NSN: 3810015663870</v>
      </c>
      <c r="G172" s="8" t="str">
        <f>IF([1]All!$B173="","",[1]All!$B173)</f>
        <v xml:space="preserve">A6KQ </v>
      </c>
      <c r="H172" s="8"/>
      <c r="I172" s="8" t="str">
        <f>IF([1]All!$D173=0,"",[1]All!$D173)</f>
        <v>E</v>
      </c>
      <c r="J172" s="8" t="str">
        <f>IF([1]All!$E173=0,"",[1]All!$E173)</f>
        <v>0UJB5</v>
      </c>
      <c r="K172" s="8" t="s">
        <v>131</v>
      </c>
      <c r="L172" s="11" t="str">
        <f>IF([1]All!$L173=0,"",[1]All!$L173)</f>
        <v>SLEEVE,HOSE PROTECT</v>
      </c>
      <c r="M172" s="7" t="str">
        <f>IF([1]All!$AJ173=0,"",[1]All!$AJ173)</f>
        <v xml:space="preserve">AATY </v>
      </c>
      <c r="N172" s="7" t="str">
        <f>IF([1]All!$R173=0,"",[1]All!$R173)</f>
        <v/>
      </c>
      <c r="O172" s="7" t="str">
        <f>IF([1]All!$S173=0,"",[1]All!$S173)</f>
        <v/>
      </c>
      <c r="P172" s="7" t="str">
        <f>IF([1]All!$V173=0,"",[1]All!$V173)</f>
        <v>0000008500</v>
      </c>
      <c r="Q172" s="3" t="str">
        <f t="shared" si="17"/>
        <v>$85.00</v>
      </c>
      <c r="R172" s="8" t="str">
        <f>IF([1]All!$F173=0,"",[1]All!$F173)</f>
        <v>MIL-001-1056</v>
      </c>
    </row>
    <row r="173" spans="1:18">
      <c r="A173" s="7"/>
      <c r="B173" s="3">
        <f t="shared" si="12"/>
        <v>69</v>
      </c>
      <c r="C173" s="3" t="str">
        <f t="shared" si="13"/>
        <v>E</v>
      </c>
      <c r="D173" s="9" t="str">
        <f t="shared" si="14"/>
        <v>MIL-001-1057</v>
      </c>
      <c r="E173" s="3" t="str">
        <f t="shared" si="15"/>
        <v>A6RL  MIL-001-1057</v>
      </c>
      <c r="F173" s="10" t="str">
        <f t="shared" si="16"/>
        <v>PCCN: CRGARM:-:PLISN: A6RL :-:PCC: TIT :-: CAGE: 0UJB5:-:PART NUMBER: MIL-001-1057:-:NOMENCLATURE: SLEEVE,HOSE PROTECT:-:PRICE: $35.22:-:UNIQUE MODS: NO:-:PROPRIETARILY MFG FOR OEM: NO:-: :-: :-: :-: :-: NHA: MIL-001-396 :-: NHA NSN: 3810015663870</v>
      </c>
      <c r="G173" s="8" t="str">
        <f>IF([1]All!$B174="","",[1]All!$B174)</f>
        <v xml:space="preserve">A6RL </v>
      </c>
      <c r="H173" s="8"/>
      <c r="I173" s="8" t="str">
        <f>IF([1]All!$D174=0,"",[1]All!$D174)</f>
        <v>E</v>
      </c>
      <c r="J173" s="8" t="str">
        <f>IF([1]All!$E174=0,"",[1]All!$E174)</f>
        <v>0UJB5</v>
      </c>
      <c r="K173" s="8" t="s">
        <v>132</v>
      </c>
      <c r="L173" s="11" t="str">
        <f>IF([1]All!$L174=0,"",[1]All!$L174)</f>
        <v>SLEEVE,HOSE PROTECT</v>
      </c>
      <c r="M173" s="7" t="str">
        <f>IF([1]All!$AJ174=0,"",[1]All!$AJ174)</f>
        <v xml:space="preserve">AATY </v>
      </c>
      <c r="N173" s="7" t="str">
        <f>IF([1]All!$R174=0,"",[1]All!$R174)</f>
        <v/>
      </c>
      <c r="O173" s="7" t="str">
        <f>IF([1]All!$S174=0,"",[1]All!$S174)</f>
        <v/>
      </c>
      <c r="P173" s="7" t="str">
        <f>IF([1]All!$V174=0,"",[1]All!$V174)</f>
        <v>0000003522</v>
      </c>
      <c r="Q173" s="3" t="str">
        <f t="shared" si="17"/>
        <v>$35.22</v>
      </c>
      <c r="R173" s="8" t="str">
        <f>IF([1]All!$F174=0,"",[1]All!$F174)</f>
        <v>MIL-001-1057</v>
      </c>
    </row>
    <row r="174" spans="1:18">
      <c r="A174" s="7"/>
      <c r="B174" s="3">
        <f t="shared" si="12"/>
        <v>69</v>
      </c>
      <c r="C174" s="3" t="str">
        <f t="shared" si="13"/>
        <v>E</v>
      </c>
      <c r="D174" s="9" t="str">
        <f t="shared" si="14"/>
        <v>MIL-001-1058</v>
      </c>
      <c r="E174" s="3" t="str">
        <f t="shared" si="15"/>
        <v>A6XG  MIL-001-1058</v>
      </c>
      <c r="F174" s="10" t="str">
        <f t="shared" si="16"/>
        <v>PCCN: CRGARM:-:PLISN: A6XG :-:PCC: TIT :-: CAGE: 0UJB5:-:PART NUMBER: MIL-001-1058:-:NOMENCLATURE: SLEEVE,HOSE PROTECT:-:PRICE: $30.41:-:UNIQUE MODS: NO:-:PROPRIETARILY MFG FOR OEM: NO:-: :-: :-: :-: :-: NHA: MIL-001-396 :-: NHA NSN: 3810015663870</v>
      </c>
      <c r="G174" s="8" t="str">
        <f>IF([1]All!$B175="","",[1]All!$B175)</f>
        <v xml:space="preserve">A6XG </v>
      </c>
      <c r="H174" s="8"/>
      <c r="I174" s="8" t="str">
        <f>IF([1]All!$D175=0,"",[1]All!$D175)</f>
        <v>E</v>
      </c>
      <c r="J174" s="8" t="str">
        <f>IF([1]All!$E175=0,"",[1]All!$E175)</f>
        <v>0UJB5</v>
      </c>
      <c r="K174" s="8" t="s">
        <v>133</v>
      </c>
      <c r="L174" s="11" t="str">
        <f>IF([1]All!$L175=0,"",[1]All!$L175)</f>
        <v>SLEEVE,HOSE PROTECT</v>
      </c>
      <c r="M174" s="7" t="str">
        <f>IF([1]All!$AJ175=0,"",[1]All!$AJ175)</f>
        <v xml:space="preserve">AATY </v>
      </c>
      <c r="N174" s="7" t="str">
        <f>IF([1]All!$R175=0,"",[1]All!$R175)</f>
        <v/>
      </c>
      <c r="O174" s="7" t="str">
        <f>IF([1]All!$S175=0,"",[1]All!$S175)</f>
        <v/>
      </c>
      <c r="P174" s="7" t="str">
        <f>IF([1]All!$V175=0,"",[1]All!$V175)</f>
        <v>0000003041</v>
      </c>
      <c r="Q174" s="3" t="str">
        <f t="shared" si="17"/>
        <v>$30.41</v>
      </c>
      <c r="R174" s="8" t="str">
        <f>IF([1]All!$F175=0,"",[1]All!$F175)</f>
        <v>MIL-001-1058</v>
      </c>
    </row>
    <row r="175" spans="1:18">
      <c r="A175" s="7"/>
      <c r="B175" s="3">
        <f t="shared" si="12"/>
        <v>69</v>
      </c>
      <c r="C175" s="3" t="str">
        <f t="shared" si="13"/>
        <v>E</v>
      </c>
      <c r="D175" s="9" t="str">
        <f t="shared" si="14"/>
        <v>92605A154</v>
      </c>
      <c r="E175" s="3" t="str">
        <f t="shared" si="15"/>
        <v>A688  92605A154</v>
      </c>
      <c r="F175" s="10" t="str">
        <f t="shared" si="16"/>
        <v>PCCN: CRGARM:-:PLISN: A688 :-:PCC: TIT :-: CAGE: 39428:-:PART NUMBER: 92605A154:-:NOMENCLATURE: SCREW,SET:-:PRICE: $1.29:-:UNIQUE MODS: NO:-:PROPRIETARILY MFG FOR OEM: NO:-: :-: :-: :-: :-: NHA: MIL-001-396 :-: NHA NSN: 3810015663870</v>
      </c>
      <c r="G175" s="8" t="str">
        <f>IF([1]All!$B176="","",[1]All!$B176)</f>
        <v xml:space="preserve">A688 </v>
      </c>
      <c r="H175" s="8"/>
      <c r="I175" s="8" t="str">
        <f>IF([1]All!$D176=0,"",[1]All!$D176)</f>
        <v>E</v>
      </c>
      <c r="J175" s="8" t="str">
        <f>IF([1]All!$E176=0,"",[1]All!$E176)</f>
        <v>39428</v>
      </c>
      <c r="K175" s="8" t="s">
        <v>398</v>
      </c>
      <c r="L175" s="11" t="str">
        <f>IF([1]All!$L176=0,"",[1]All!$L176)</f>
        <v>SCREW,SET</v>
      </c>
      <c r="M175" s="7" t="str">
        <f>IF([1]All!$AJ176=0,"",[1]All!$AJ176)</f>
        <v xml:space="preserve">AATY </v>
      </c>
      <c r="N175" s="7" t="str">
        <f>IF([1]All!$R176=0,"",[1]All!$R176)</f>
        <v/>
      </c>
      <c r="O175" s="7" t="str">
        <f>IF([1]All!$S176=0,"",[1]All!$S176)</f>
        <v/>
      </c>
      <c r="P175" s="7" t="str">
        <f>IF([1]All!$V176=0,"",[1]All!$V176)</f>
        <v>0000000129</v>
      </c>
      <c r="Q175" s="3" t="str">
        <f t="shared" si="17"/>
        <v>$1.29</v>
      </c>
      <c r="R175" s="8" t="str">
        <f>IF([1]All!$F176=0,"",[1]All!$F176)</f>
        <v>92605A154</v>
      </c>
    </row>
    <row r="176" spans="1:18">
      <c r="A176" s="7"/>
      <c r="B176" s="3">
        <f t="shared" si="12"/>
        <v>68</v>
      </c>
      <c r="C176" s="3" t="str">
        <f t="shared" si="13"/>
        <v>D</v>
      </c>
      <c r="D176" s="9" t="str">
        <f t="shared" si="14"/>
        <v>800192</v>
      </c>
      <c r="E176" s="3" t="str">
        <f t="shared" si="15"/>
        <v>A7L0  800192</v>
      </c>
      <c r="F176" s="10" t="str">
        <f t="shared" si="16"/>
        <v>PCCN: CRGARM:-:PLISN: A7L0 :-:PCC: TIT :-: CAGE: 4C8S5:-:PART NUMBER: 800192:-:NOMENCLATURE: CONNECTOR,BULKHEAD,:-:PRICE: $260.92:-:UNIQUE MODS: NO:-:PROPRIETARILY MFG FOR OEM: NO:-: :-: :-: :-:NSN: 5935015673068 :-: NHA: MIL-001-080 :-: NHA NSN: 3040015666891</v>
      </c>
      <c r="G176" s="8" t="str">
        <f>IF([1]All!$B177="","",[1]All!$B177)</f>
        <v xml:space="preserve">A7L0 </v>
      </c>
      <c r="H176" s="8"/>
      <c r="I176" s="8" t="str">
        <f>IF([1]All!$D177=0,"",[1]All!$D177)</f>
        <v>D</v>
      </c>
      <c r="J176" s="8" t="str">
        <f>IF([1]All!$E177=0,"",[1]All!$E177)</f>
        <v>4C8S5</v>
      </c>
      <c r="K176" s="8" t="s">
        <v>134</v>
      </c>
      <c r="L176" s="11" t="str">
        <f>IF([1]All!$L177=0,"",[1]All!$L177)</f>
        <v>CONNECTOR,BULKHEAD,</v>
      </c>
      <c r="M176" s="7" t="str">
        <f>IF([1]All!$AJ177=0,"",[1]All!$AJ177)</f>
        <v xml:space="preserve">AAM2 </v>
      </c>
      <c r="N176" s="7" t="str">
        <f>IF([1]All!$R177=0,"",[1]All!$R177)</f>
        <v>5935</v>
      </c>
      <c r="O176" s="7" t="str">
        <f>IF([1]All!$S177=0,"",[1]All!$S177)</f>
        <v>015673068</v>
      </c>
      <c r="P176" s="7" t="str">
        <f>IF([1]All!$V177=0,"",[1]All!$V177)</f>
        <v>0000026092</v>
      </c>
      <c r="Q176" s="3" t="str">
        <f t="shared" si="17"/>
        <v>$260.92</v>
      </c>
      <c r="R176" s="8" t="str">
        <f>IF([1]All!$F177=0,"",[1]All!$F177)</f>
        <v>800192</v>
      </c>
    </row>
    <row r="177" spans="1:18">
      <c r="A177" s="7"/>
      <c r="B177" s="3">
        <f t="shared" si="12"/>
        <v>68</v>
      </c>
      <c r="C177" s="3" t="str">
        <f t="shared" si="13"/>
        <v>D</v>
      </c>
      <c r="D177" s="9" t="str">
        <f t="shared" si="14"/>
        <v>FKFS4.4 M12</v>
      </c>
      <c r="E177" s="3" t="str">
        <f t="shared" si="15"/>
        <v>A7SW  FKFS4.4 M12</v>
      </c>
      <c r="F177" s="10" t="str">
        <f t="shared" si="16"/>
        <v>PCCN: CRGARM:-:PLISN: A7SW :-:PCC: TIT :-: CAGE: 61526:-:PART NUMBER: FKFS4.4/M12:-:NOMENCLATURE: CONNECTOR,BULKHEAD,:-:PRICE: $29.40:-:UNIQUE MODS: NO:-:PROPRIETARILY MFG FOR OEM: NO:-: :-: :-: :-:NSN: 5935015663300 :-: NHA: MIL-001-080 :-: NHA NSN: 3040015666891</v>
      </c>
      <c r="G177" s="8" t="str">
        <f>IF([1]All!$B178="","",[1]All!$B178)</f>
        <v xml:space="preserve">A7SW </v>
      </c>
      <c r="H177" s="8"/>
      <c r="I177" s="8" t="str">
        <f>IF([1]All!$D178=0,"",[1]All!$D178)</f>
        <v>D</v>
      </c>
      <c r="J177" s="8" t="str">
        <f>IF([1]All!$E178=0,"",[1]All!$E178)</f>
        <v>61526</v>
      </c>
      <c r="K177" s="8" t="s">
        <v>446</v>
      </c>
      <c r="L177" s="11" t="str">
        <f>IF([1]All!$L178=0,"",[1]All!$L178)</f>
        <v>CONNECTOR,BULKHEAD,</v>
      </c>
      <c r="M177" s="7" t="str">
        <f>IF([1]All!$AJ178=0,"",[1]All!$AJ178)</f>
        <v xml:space="preserve">AAM2 </v>
      </c>
      <c r="N177" s="7" t="str">
        <f>IF([1]All!$R178=0,"",[1]All!$R178)</f>
        <v>5935</v>
      </c>
      <c r="O177" s="7" t="str">
        <f>IF([1]All!$S178=0,"",[1]All!$S178)</f>
        <v>015663300</v>
      </c>
      <c r="P177" s="7" t="str">
        <f>IF([1]All!$V178=0,"",[1]All!$V178)</f>
        <v>0000002940</v>
      </c>
      <c r="Q177" s="3" t="str">
        <f t="shared" si="17"/>
        <v>$29.40</v>
      </c>
      <c r="R177" s="8" t="str">
        <f>IF([1]All!$F178=0,"",[1]All!$F178)</f>
        <v>FKFS4.4/M12</v>
      </c>
    </row>
    <row r="178" spans="1:18">
      <c r="A178" s="7"/>
      <c r="B178" s="3">
        <f t="shared" si="12"/>
        <v>68</v>
      </c>
      <c r="C178" s="3" t="str">
        <f t="shared" si="13"/>
        <v>D</v>
      </c>
      <c r="D178" s="9" t="str">
        <f t="shared" si="14"/>
        <v>RKSV4.4T-6.5-RKSV4.4T</v>
      </c>
      <c r="E178" s="3" t="str">
        <f t="shared" si="15"/>
        <v>A7YS  RKSV4.4T-6.5-RKSV4.4T</v>
      </c>
      <c r="F178" s="10" t="str">
        <f t="shared" si="16"/>
        <v>PCCN: CRGARM:-:PLISN: A7YS :-:PCC: TIT :-: CAGE: 61526:-:PART NUMBER: RKSV4.4T-6.5-RKSV4.4T:-:NOMENCLATURE: CABLE ASSEMBLY,SPEC:-:PRICE: $107.52:-:UNIQUE MODS: NO:-:PROPRIETARILY MFG FOR OEM: NO:-: :-: :-: :-:NSN: 6150015660646 :-: NHA: MIL-001-080 :-: NHA NSN: 3040015666891</v>
      </c>
      <c r="G178" s="8" t="str">
        <f>IF([1]All!$B179="","",[1]All!$B179)</f>
        <v xml:space="preserve">A7YS </v>
      </c>
      <c r="H178" s="8"/>
      <c r="I178" s="8" t="str">
        <f>IF([1]All!$D179=0,"",[1]All!$D179)</f>
        <v>D</v>
      </c>
      <c r="J178" s="8" t="str">
        <f>IF([1]All!$E179=0,"",[1]All!$E179)</f>
        <v>61526</v>
      </c>
      <c r="K178" s="8" t="s">
        <v>135</v>
      </c>
      <c r="L178" s="11" t="str">
        <f>IF([1]All!$L179=0,"",[1]All!$L179)</f>
        <v>CABLE ASSEMBLY,SPEC</v>
      </c>
      <c r="M178" s="7" t="str">
        <f>IF([1]All!$AJ179=0,"",[1]All!$AJ179)</f>
        <v xml:space="preserve">AAM2 </v>
      </c>
      <c r="N178" s="7" t="str">
        <f>IF([1]All!$R179=0,"",[1]All!$R179)</f>
        <v>6150</v>
      </c>
      <c r="O178" s="7" t="str">
        <f>IF([1]All!$S179=0,"",[1]All!$S179)</f>
        <v>015660646</v>
      </c>
      <c r="P178" s="7" t="str">
        <f>IF([1]All!$V179=0,"",[1]All!$V179)</f>
        <v>0000010752</v>
      </c>
      <c r="Q178" s="3" t="str">
        <f t="shared" si="17"/>
        <v>$107.52</v>
      </c>
      <c r="R178" s="8" t="str">
        <f>IF([1]All!$F179=0,"",[1]All!$F179)</f>
        <v>RKSV4.4T-6.5-RKSV4.4T</v>
      </c>
    </row>
    <row r="179" spans="1:18">
      <c r="A179" s="7"/>
      <c r="B179" s="3">
        <f t="shared" si="12"/>
        <v>68</v>
      </c>
      <c r="C179" s="3" t="str">
        <f t="shared" si="13"/>
        <v>D</v>
      </c>
      <c r="D179" s="9" t="str">
        <f t="shared" si="14"/>
        <v>MIL-001-176</v>
      </c>
      <c r="E179" s="3" t="str">
        <f t="shared" si="15"/>
        <v>A74N  MIL-001-176</v>
      </c>
      <c r="F179" s="10" t="str">
        <f t="shared" si="16"/>
        <v>PCCN: CRGARM:-:PLISN: A74N :-:PCC: TIT :-: CAGE: 0UJB5:-:PART NUMBER: MIL-001-176:-:NOMENCLATURE: CABLE ASSEMBLY,SPEC:-:PRICE: $1284.49:-:UNIQUE MODS: NO:-:PROPRIETARILY MFG FOR OEM: NO:-: :-: :-: :-:NSN: 6150015668415 :-: NHA: MIL-001-080 :-: NHA NSN: 3040015666891</v>
      </c>
      <c r="G179" s="8" t="str">
        <f>IF([1]All!$B180="","",[1]All!$B180)</f>
        <v xml:space="preserve">A74N </v>
      </c>
      <c r="H179" s="8"/>
      <c r="I179" s="8" t="str">
        <f>IF([1]All!$D180=0,"",[1]All!$D180)</f>
        <v>D</v>
      </c>
      <c r="J179" s="8" t="str">
        <f>IF([1]All!$E180=0,"",[1]All!$E180)</f>
        <v>0UJB5</v>
      </c>
      <c r="K179" s="8" t="s">
        <v>136</v>
      </c>
      <c r="L179" s="11" t="str">
        <f>IF([1]All!$L180=0,"",[1]All!$L180)</f>
        <v>CABLE ASSEMBLY,SPEC</v>
      </c>
      <c r="M179" s="7" t="str">
        <f>IF([1]All!$AJ180=0,"",[1]All!$AJ180)</f>
        <v xml:space="preserve">AAM2 </v>
      </c>
      <c r="N179" s="7" t="str">
        <f>IF([1]All!$R180=0,"",[1]All!$R180)</f>
        <v>6150</v>
      </c>
      <c r="O179" s="7" t="str">
        <f>IF([1]All!$S180=0,"",[1]All!$S180)</f>
        <v>015668415</v>
      </c>
      <c r="P179" s="7" t="str">
        <f>IF([1]All!$V180=0,"",[1]All!$V180)</f>
        <v>0000128449</v>
      </c>
      <c r="Q179" s="3" t="str">
        <f t="shared" si="17"/>
        <v>$1284.49</v>
      </c>
      <c r="R179" s="8" t="str">
        <f>IF([1]All!$F180=0,"",[1]All!$F180)</f>
        <v>MIL-001-176</v>
      </c>
    </row>
    <row r="180" spans="1:18">
      <c r="A180" s="7"/>
      <c r="B180" s="3">
        <f t="shared" si="12"/>
        <v>68</v>
      </c>
      <c r="C180" s="3" t="str">
        <f t="shared" si="13"/>
        <v>D</v>
      </c>
      <c r="D180" s="9" t="str">
        <f t="shared" si="14"/>
        <v>MIL-001-779</v>
      </c>
      <c r="E180" s="3" t="str">
        <f t="shared" si="15"/>
        <v>A8AJ  MIL-001-779</v>
      </c>
      <c r="F180" s="10" t="str">
        <f t="shared" si="16"/>
        <v>PCCN: CRGARM:-:PLISN: A8AJ :-:PCC: TIT :-: CAGE: 0UJB5:-:PART NUMBER: MIL-001-779:-:NOMENCLATURE: BRACKET:-:PRICE: $249.41:-:UNIQUE MODS: NO:-:PROPRIETARILY MFG FOR OEM: NO:-: :-: :-: :-: :-: NHA: MIL-001-080 :-: NHA NSN: 3040015666891</v>
      </c>
      <c r="G180" s="8" t="str">
        <f>IF([1]All!$B181="","",[1]All!$B181)</f>
        <v xml:space="preserve">A8AJ </v>
      </c>
      <c r="H180" s="8"/>
      <c r="I180" s="8" t="str">
        <f>IF([1]All!$D181=0,"",[1]All!$D181)</f>
        <v>D</v>
      </c>
      <c r="J180" s="8" t="str">
        <f>IF([1]All!$E181=0,"",[1]All!$E181)</f>
        <v>0UJB5</v>
      </c>
      <c r="K180" s="8" t="s">
        <v>137</v>
      </c>
      <c r="L180" s="11" t="str">
        <f>IF([1]All!$L181=0,"",[1]All!$L181)</f>
        <v>BRACKET</v>
      </c>
      <c r="M180" s="7" t="str">
        <f>IF([1]All!$AJ181=0,"",[1]All!$AJ181)</f>
        <v xml:space="preserve">AAM2 </v>
      </c>
      <c r="N180" s="7" t="str">
        <f>IF([1]All!$R181=0,"",[1]All!$R181)</f>
        <v/>
      </c>
      <c r="O180" s="7" t="str">
        <f>IF([1]All!$S181=0,"",[1]All!$S181)</f>
        <v/>
      </c>
      <c r="P180" s="7" t="str">
        <f>IF([1]All!$V181=0,"",[1]All!$V181)</f>
        <v>0000024941</v>
      </c>
      <c r="Q180" s="3" t="str">
        <f t="shared" si="17"/>
        <v>$249.41</v>
      </c>
      <c r="R180" s="8" t="str">
        <f>IF([1]All!$F181=0,"",[1]All!$F181)</f>
        <v>MIL-001-779</v>
      </c>
    </row>
    <row r="181" spans="1:18">
      <c r="A181" s="7"/>
      <c r="B181" s="3">
        <f t="shared" si="12"/>
        <v>68</v>
      </c>
      <c r="C181" s="3" t="str">
        <f t="shared" si="13"/>
        <v>D</v>
      </c>
      <c r="D181" s="9" t="str">
        <f t="shared" si="14"/>
        <v>0153976</v>
      </c>
      <c r="E181" s="3" t="str">
        <f t="shared" si="15"/>
        <v>A8GE  0153976</v>
      </c>
      <c r="F181" s="10" t="str">
        <f t="shared" si="16"/>
        <v>PCCN: CRGARM:-:PLISN: A8GE :-:PCC: TIT :-: CAGE: 0Y3H3:-:PART NUMBER: 0153976:-:NOMENCLATURE: SCREW,CAP,HEXAGON H:-:PRICE: $0.16:-:UNIQUE MODS: NO:-:PROPRIETARILY MFG FOR OEM: NO:-: :-: :-: :-:NSN: 5305015800455 :-: NHA: MIL-001-080 :-: NHA NSN: 3040015666891</v>
      </c>
      <c r="G181" s="8" t="str">
        <f>IF([1]All!$B182="","",[1]All!$B182)</f>
        <v xml:space="preserve">A8GE </v>
      </c>
      <c r="H181" s="8"/>
      <c r="I181" s="8" t="str">
        <f>IF([1]All!$D182=0,"",[1]All!$D182)</f>
        <v>D</v>
      </c>
      <c r="J181" s="8" t="str">
        <f>IF([1]All!$E182=0,"",[1]All!$E182)</f>
        <v>0Y3H3</v>
      </c>
      <c r="K181" s="8" t="s">
        <v>138</v>
      </c>
      <c r="L181" s="11" t="str">
        <f>IF([1]All!$L182=0,"",[1]All!$L182)</f>
        <v>SCREW,CAP,HEXAGON H</v>
      </c>
      <c r="M181" s="7" t="str">
        <f>IF([1]All!$AJ182=0,"",[1]All!$AJ182)</f>
        <v xml:space="preserve">AAM2 </v>
      </c>
      <c r="N181" s="7" t="str">
        <f>IF([1]All!$R182=0,"",[1]All!$R182)</f>
        <v>5305</v>
      </c>
      <c r="O181" s="7" t="str">
        <f>IF([1]All!$S182=0,"",[1]All!$S182)</f>
        <v>015800455</v>
      </c>
      <c r="P181" s="7" t="str">
        <f>IF([1]All!$V182=0,"",[1]All!$V182)</f>
        <v>0000000016</v>
      </c>
      <c r="Q181" s="3" t="str">
        <f t="shared" si="17"/>
        <v>$0.16</v>
      </c>
      <c r="R181" s="8" t="str">
        <f>IF([1]All!$F182=0,"",[1]All!$F182)</f>
        <v>0153976</v>
      </c>
    </row>
    <row r="182" spans="1:18">
      <c r="A182" s="7"/>
      <c r="B182" s="3">
        <f t="shared" si="12"/>
        <v>68</v>
      </c>
      <c r="C182" s="3" t="str">
        <f t="shared" si="13"/>
        <v>D</v>
      </c>
      <c r="D182" s="9" t="str">
        <f t="shared" si="14"/>
        <v>20-30115</v>
      </c>
      <c r="E182" s="3" t="str">
        <f t="shared" si="15"/>
        <v>A8NA  20-30115</v>
      </c>
      <c r="F182" s="10" t="str">
        <f t="shared" si="16"/>
        <v>PCCN: CRGARM:-:PLISN: A8NA :-:PCC: TIT :-: CAGE: 28953:-:PART NUMBER: 20-30115:-:NOMENCLATURE: WASHER,FLAT:-:PRICE: $0.05:-:UNIQUE MODS: NO:-:PROPRIETARILY MFG FOR OEM: NO:-: :-: :-: :-:NSN: 5310015096341 :-: NHA: MIL-001-080 :-: NHA NSN: 3040015666891</v>
      </c>
      <c r="G182" s="8" t="str">
        <f>IF([1]All!$B183="","",[1]All!$B183)</f>
        <v xml:space="preserve">A8NA </v>
      </c>
      <c r="H182" s="8"/>
      <c r="I182" s="8" t="str">
        <f>IF([1]All!$D183=0,"",[1]All!$D183)</f>
        <v>D</v>
      </c>
      <c r="J182" s="8" t="str">
        <f>IF([1]All!$E183=0,"",[1]All!$E183)</f>
        <v>28953</v>
      </c>
      <c r="K182" s="8" t="s">
        <v>80</v>
      </c>
      <c r="L182" s="11" t="str">
        <f>IF([1]All!$L183=0,"",[1]All!$L183)</f>
        <v>WASHER,FLAT</v>
      </c>
      <c r="M182" s="7" t="str">
        <f>IF([1]All!$AJ183=0,"",[1]All!$AJ183)</f>
        <v xml:space="preserve">AAM2 </v>
      </c>
      <c r="N182" s="7" t="str">
        <f>IF([1]All!$R183=0,"",[1]All!$R183)</f>
        <v>5310</v>
      </c>
      <c r="O182" s="7" t="str">
        <f>IF([1]All!$S183=0,"",[1]All!$S183)</f>
        <v>015096341</v>
      </c>
      <c r="P182" s="7" t="str">
        <f>IF([1]All!$V183=0,"",[1]All!$V183)</f>
        <v>0000000005</v>
      </c>
      <c r="Q182" s="3" t="str">
        <f t="shared" si="17"/>
        <v>$0.05</v>
      </c>
      <c r="R182" s="8" t="str">
        <f>IF([1]All!$F183=0,"",[1]All!$F183)</f>
        <v>20-30115</v>
      </c>
    </row>
    <row r="183" spans="1:18">
      <c r="A183" s="7"/>
      <c r="B183" s="3">
        <f t="shared" si="12"/>
        <v>68</v>
      </c>
      <c r="C183" s="3" t="str">
        <f t="shared" si="13"/>
        <v>D</v>
      </c>
      <c r="D183" s="9" t="str">
        <f t="shared" si="14"/>
        <v>1140383</v>
      </c>
      <c r="E183" s="3" t="str">
        <f t="shared" si="15"/>
        <v>A8T6  1140383</v>
      </c>
      <c r="F183" s="10" t="str">
        <f t="shared" si="16"/>
        <v>PCCN: CRGARM:-:PLISN: A8T6 :-:PCC: TIT :-: CAGE: 0Y3H3:-:PART NUMBER: 1140383:-:NOMENCLATURE: WASHER,LOCK:-:PRICE: $0.03:-:UNIQUE MODS: NO:-:PROPRIETARILY MFG FOR OEM: NO:-: :-: :-: :-:NSN: 5310015535052 :-: NHA: MIL-001-080 :-: NHA NSN: 3040015666891</v>
      </c>
      <c r="G183" s="8" t="str">
        <f>IF([1]All!$B184="","",[1]All!$B184)</f>
        <v xml:space="preserve">A8T6 </v>
      </c>
      <c r="H183" s="8"/>
      <c r="I183" s="8" t="str">
        <f>IF([1]All!$D184=0,"",[1]All!$D184)</f>
        <v>D</v>
      </c>
      <c r="J183" s="8" t="str">
        <f>IF([1]All!$E184=0,"",[1]All!$E184)</f>
        <v>0Y3H3</v>
      </c>
      <c r="K183" s="8" t="s">
        <v>139</v>
      </c>
      <c r="L183" s="11" t="str">
        <f>IF([1]All!$L184=0,"",[1]All!$L184)</f>
        <v>WASHER,LOCK</v>
      </c>
      <c r="M183" s="7" t="str">
        <f>IF([1]All!$AJ184=0,"",[1]All!$AJ184)</f>
        <v xml:space="preserve">AAM2 </v>
      </c>
      <c r="N183" s="7" t="str">
        <f>IF([1]All!$R184=0,"",[1]All!$R184)</f>
        <v>5310</v>
      </c>
      <c r="O183" s="7" t="str">
        <f>IF([1]All!$S184=0,"",[1]All!$S184)</f>
        <v>015535052</v>
      </c>
      <c r="P183" s="7" t="str">
        <f>IF([1]All!$V184=0,"",[1]All!$V184)</f>
        <v>0000000003</v>
      </c>
      <c r="Q183" s="3" t="str">
        <f t="shared" si="17"/>
        <v>$0.03</v>
      </c>
      <c r="R183" s="8" t="str">
        <f>IF([1]All!$F184=0,"",[1]All!$F184)</f>
        <v>1140383</v>
      </c>
    </row>
    <row r="184" spans="1:18">
      <c r="A184" s="7"/>
      <c r="B184" s="3">
        <f t="shared" si="12"/>
        <v>67</v>
      </c>
      <c r="C184" s="3" t="str">
        <f t="shared" si="13"/>
        <v>C</v>
      </c>
      <c r="D184" s="9" t="str">
        <f t="shared" si="14"/>
        <v>MIL-001-1542</v>
      </c>
      <c r="E184" s="3" t="str">
        <f t="shared" si="15"/>
        <v>A8Z2  MIL-001-1542</v>
      </c>
      <c r="F184" s="10" t="str">
        <f t="shared" si="16"/>
        <v>PCCN: CRGARM:-:PLISN: A8Z2 :-:PCC: TIT :-: CAGE: 0UJB5:-:PART NUMBER: MIL-001-1542:-:NOMENCLATURE: CABLE ASSEMBLY,SPEC:-:PRICE: $618.21:-:UNIQUE MODS: NO:-:PROPRIETARILY MFG FOR OEM: NO:-: :-: :-: :-: :-: NHA: 12574288</v>
      </c>
      <c r="G184" s="8" t="str">
        <f>IF([1]All!$B185="","",[1]All!$B185)</f>
        <v xml:space="preserve">A8Z2 </v>
      </c>
      <c r="H184" s="8"/>
      <c r="I184" s="8" t="str">
        <f>IF([1]All!$D185=0,"",[1]All!$D185)</f>
        <v>C</v>
      </c>
      <c r="J184" s="8" t="str">
        <f>IF([1]All!$E185=0,"",[1]All!$E185)</f>
        <v>0UJB5</v>
      </c>
      <c r="K184" s="8" t="s">
        <v>140</v>
      </c>
      <c r="L184" s="11" t="str">
        <f>IF([1]All!$L185=0,"",[1]All!$L185)</f>
        <v>CABLE ASSEMBLY,SPEC</v>
      </c>
      <c r="M184" s="7" t="str">
        <f>IF([1]All!$AJ185=0,"",[1]All!$AJ185)</f>
        <v xml:space="preserve">AAF6 </v>
      </c>
      <c r="N184" s="7" t="str">
        <f>IF([1]All!$R185=0,"",[1]All!$R185)</f>
        <v/>
      </c>
      <c r="O184" s="7" t="str">
        <f>IF([1]All!$S185=0,"",[1]All!$S185)</f>
        <v/>
      </c>
      <c r="P184" s="7" t="str">
        <f>IF([1]All!$V185=0,"",[1]All!$V185)</f>
        <v>0000061821</v>
      </c>
      <c r="Q184" s="3" t="str">
        <f t="shared" si="17"/>
        <v>$618.21</v>
      </c>
      <c r="R184" s="8" t="str">
        <f>IF([1]All!$F185=0,"",[1]All!$F185)</f>
        <v>MIL-001-1542</v>
      </c>
    </row>
    <row r="185" spans="1:18">
      <c r="A185" s="7"/>
      <c r="B185" s="3">
        <f t="shared" si="12"/>
        <v>68</v>
      </c>
      <c r="C185" s="3" t="str">
        <f t="shared" si="13"/>
        <v>D</v>
      </c>
      <c r="D185" s="9" t="str">
        <f t="shared" si="14"/>
        <v>MIL-001-167</v>
      </c>
      <c r="E185" s="3" t="str">
        <f t="shared" si="15"/>
        <v>A85Y  MIL-001-167</v>
      </c>
      <c r="F185" s="10" t="str">
        <f t="shared" si="16"/>
        <v>PCCN: CRGARM:-:PLISN: A85Y :-:PCC: TIT :-: CAGE: 0UJB5:-:PART NUMBER: MIL-001-167:-:NOMENCLATURE: SWITCH,BOX:-:PRICE: $302.14:-:UNIQUE MODS: NO:-:PROPRIETARILY MFG FOR OEM: NO:-: :-: :-: :-:NSN: 5930015659519 :-: NHA: MIL-001-1542</v>
      </c>
      <c r="G185" s="8" t="str">
        <f>IF([1]All!$B186="","",[1]All!$B186)</f>
        <v xml:space="preserve">A85Y </v>
      </c>
      <c r="H185" s="8"/>
      <c r="I185" s="8" t="str">
        <f>IF([1]All!$D186=0,"",[1]All!$D186)</f>
        <v>D</v>
      </c>
      <c r="J185" s="8" t="str">
        <f>IF([1]All!$E186=0,"",[1]All!$E186)</f>
        <v>0UJB5</v>
      </c>
      <c r="K185" s="8" t="s">
        <v>141</v>
      </c>
      <c r="L185" s="11" t="str">
        <f>IF([1]All!$L186=0,"",[1]All!$L186)</f>
        <v>SWITCH,BOX</v>
      </c>
      <c r="M185" s="7" t="str">
        <f>IF([1]All!$AJ186=0,"",[1]All!$AJ186)</f>
        <v xml:space="preserve">A8Z2 </v>
      </c>
      <c r="N185" s="7" t="str">
        <f>IF([1]All!$R186=0,"",[1]All!$R186)</f>
        <v>5930</v>
      </c>
      <c r="O185" s="7" t="str">
        <f>IF([1]All!$S186=0,"",[1]All!$S186)</f>
        <v>015659519</v>
      </c>
      <c r="P185" s="7" t="str">
        <f>IF([1]All!$V186=0,"",[1]All!$V186)</f>
        <v>0000030214</v>
      </c>
      <c r="Q185" s="3" t="str">
        <f t="shared" si="17"/>
        <v>$302.14</v>
      </c>
      <c r="R185" s="8" t="str">
        <f>IF([1]All!$F186=0,"",[1]All!$F186)</f>
        <v>MIL-001-167</v>
      </c>
    </row>
    <row r="186" spans="1:18">
      <c r="A186" s="7"/>
      <c r="B186" s="3">
        <f t="shared" si="12"/>
        <v>68</v>
      </c>
      <c r="C186" s="3" t="str">
        <f t="shared" si="13"/>
        <v>D</v>
      </c>
      <c r="D186" s="9" t="str">
        <f t="shared" si="14"/>
        <v>S2212</v>
      </c>
      <c r="E186" s="3" t="str">
        <f t="shared" si="15"/>
        <v>A9BU  S2212</v>
      </c>
      <c r="F186" s="10" t="str">
        <f t="shared" si="16"/>
        <v>PCCN: CRGARM:-:PLISN: A9BU :-:PCC: TIT :-: CAGE: 0XLF2:-:PART NUMBER: S2212:-:NOMENCLATURE: STRAIN RELIEF,ELECT:-:PRICE: $1.19:-:UNIQUE MODS: NO:-:PROPRIETARILY MFG FOR OEM: NO:-: :-: :-: :-: :-: NHA: MIL-001-1542</v>
      </c>
      <c r="G186" s="8" t="str">
        <f>IF([1]All!$B187="","",[1]All!$B187)</f>
        <v xml:space="preserve">A9BU </v>
      </c>
      <c r="H186" s="8"/>
      <c r="I186" s="8" t="str">
        <f>IF([1]All!$D187=0,"",[1]All!$D187)</f>
        <v>D</v>
      </c>
      <c r="J186" s="8" t="str">
        <f>IF([1]All!$E187=0,"",[1]All!$E187)</f>
        <v>0XLF2</v>
      </c>
      <c r="K186" s="8" t="s">
        <v>142</v>
      </c>
      <c r="L186" s="11" t="str">
        <f>IF([1]All!$L187=0,"",[1]All!$L187)</f>
        <v>STRAIN RELIEF,ELECT</v>
      </c>
      <c r="M186" s="7" t="str">
        <f>IF([1]All!$AJ187=0,"",[1]All!$AJ187)</f>
        <v xml:space="preserve">A8Z2 </v>
      </c>
      <c r="N186" s="7" t="str">
        <f>IF([1]All!$R187=0,"",[1]All!$R187)</f>
        <v/>
      </c>
      <c r="O186" s="7" t="str">
        <f>IF([1]All!$S187=0,"",[1]All!$S187)</f>
        <v/>
      </c>
      <c r="P186" s="7" t="str">
        <f>IF([1]All!$V187=0,"",[1]All!$V187)</f>
        <v>0000000119</v>
      </c>
      <c r="Q186" s="3" t="str">
        <f t="shared" si="17"/>
        <v>$1.19</v>
      </c>
      <c r="R186" s="8" t="str">
        <f>IF([1]All!$F187=0,"",[1]All!$F187)</f>
        <v>S2212</v>
      </c>
    </row>
    <row r="187" spans="1:18">
      <c r="A187" s="7"/>
      <c r="B187" s="3">
        <f t="shared" si="12"/>
        <v>68</v>
      </c>
      <c r="C187" s="3" t="str">
        <f t="shared" si="13"/>
        <v>D</v>
      </c>
      <c r="D187" s="9" t="str">
        <f t="shared" si="14"/>
        <v>MIL-001-723</v>
      </c>
      <c r="E187" s="3" t="str">
        <f t="shared" si="15"/>
        <v>A9HQ  MIL-001-723</v>
      </c>
      <c r="F187" s="10" t="str">
        <f t="shared" si="16"/>
        <v>PCCN: CRGARM:-:PLISN: A9HQ :-:PCC: TIT :-: CAGE: 0UJB5:-:PART NUMBER: MIL-001-723:-:NOMENCLATURE: CONNECTOR,RECEPTACL:-:PRICE: $8.57:-:UNIQUE MODS: NO:-:PROPRIETARILY MFG FOR OEM: NO:-: :-: :-: :-:NSN: 5935016005372 :-: NHA: MIL-001-1542</v>
      </c>
      <c r="G187" s="8" t="str">
        <f>IF([1]All!$B188="","",[1]All!$B188)</f>
        <v xml:space="preserve">A9HQ </v>
      </c>
      <c r="H187" s="8"/>
      <c r="I187" s="8" t="str">
        <f>IF([1]All!$D188=0,"",[1]All!$D188)</f>
        <v>D</v>
      </c>
      <c r="J187" s="8" t="str">
        <f>IF([1]All!$E188=0,"",[1]All!$E188)</f>
        <v>0UJB5</v>
      </c>
      <c r="K187" s="8" t="s">
        <v>143</v>
      </c>
      <c r="L187" s="11" t="str">
        <f>IF([1]All!$L188=0,"",[1]All!$L188)</f>
        <v>CONNECTOR,RECEPTACL</v>
      </c>
      <c r="M187" s="7" t="str">
        <f>IF([1]All!$AJ188=0,"",[1]All!$AJ188)</f>
        <v xml:space="preserve">A8Z2 </v>
      </c>
      <c r="N187" s="7" t="str">
        <f>IF([1]All!$R188=0,"",[1]All!$R188)</f>
        <v>5935</v>
      </c>
      <c r="O187" s="7" t="str">
        <f>IF([1]All!$S188=0,"",[1]All!$S188)</f>
        <v>016005372</v>
      </c>
      <c r="P187" s="7" t="str">
        <f>IF([1]All!$V188=0,"",[1]All!$V188)</f>
        <v>0000000857</v>
      </c>
      <c r="Q187" s="3" t="str">
        <f t="shared" si="17"/>
        <v>$8.57</v>
      </c>
      <c r="R187" s="8" t="str">
        <f>IF([1]All!$F188=0,"",[1]All!$F188)</f>
        <v>MIL-001-723</v>
      </c>
    </row>
    <row r="188" spans="1:18">
      <c r="A188" s="7"/>
      <c r="B188" s="3">
        <f t="shared" si="12"/>
        <v>68</v>
      </c>
      <c r="C188" s="3" t="str">
        <f t="shared" si="13"/>
        <v>D</v>
      </c>
      <c r="D188" s="9" t="str">
        <f t="shared" si="14"/>
        <v>MIL-001-724</v>
      </c>
      <c r="E188" s="3" t="str">
        <f t="shared" si="15"/>
        <v>A9PL  MIL-001-724</v>
      </c>
      <c r="F188" s="10" t="str">
        <f t="shared" si="16"/>
        <v>PCCN: CRGARM:-:PLISN: A9PL :-:PCC: TIT :-: CAGE: 0UJB5:-:PART NUMBER: MIL-001-724:-:NOMENCLATURE: CONNECTOR SET,ELECT:-:PRICE: $52.02:-:UNIQUE MODS: NO:-:PROPRIETARILY MFG FOR OEM: NO:-: :-: :-: :-:NSN: 5935015738773 :-: NHA: MIL-001-1542</v>
      </c>
      <c r="G188" s="8" t="str">
        <f>IF([1]All!$B189="","",[1]All!$B189)</f>
        <v xml:space="preserve">A9PL </v>
      </c>
      <c r="H188" s="8"/>
      <c r="I188" s="8" t="str">
        <f>IF([1]All!$D189=0,"",[1]All!$D189)</f>
        <v>D</v>
      </c>
      <c r="J188" s="8" t="str">
        <f>IF([1]All!$E189=0,"",[1]All!$E189)</f>
        <v>0UJB5</v>
      </c>
      <c r="K188" s="8" t="s">
        <v>144</v>
      </c>
      <c r="L188" s="11" t="str">
        <f>IF([1]All!$L189=0,"",[1]All!$L189)</f>
        <v>CONNECTOR SET,ELECT</v>
      </c>
      <c r="M188" s="7" t="str">
        <f>IF([1]All!$AJ189=0,"",[1]All!$AJ189)</f>
        <v xml:space="preserve">A8Z2 </v>
      </c>
      <c r="N188" s="7" t="str">
        <f>IF([1]All!$R189=0,"",[1]All!$R189)</f>
        <v>5935</v>
      </c>
      <c r="O188" s="7" t="str">
        <f>IF([1]All!$S189=0,"",[1]All!$S189)</f>
        <v>015738773</v>
      </c>
      <c r="P188" s="7" t="str">
        <f>IF([1]All!$V189=0,"",[1]All!$V189)</f>
        <v>0000005202</v>
      </c>
      <c r="Q188" s="3" t="str">
        <f t="shared" si="17"/>
        <v>$52.02</v>
      </c>
      <c r="R188" s="8" t="str">
        <f>IF([1]All!$F189=0,"",[1]All!$F189)</f>
        <v>MIL-001-724</v>
      </c>
    </row>
    <row r="189" spans="1:18">
      <c r="A189" s="7"/>
      <c r="B189" s="3">
        <f t="shared" si="12"/>
        <v>68</v>
      </c>
      <c r="C189" s="3" t="str">
        <f t="shared" si="13"/>
        <v>D</v>
      </c>
      <c r="D189" s="9" t="str">
        <f t="shared" si="14"/>
        <v>732383004</v>
      </c>
      <c r="E189" s="3" t="str">
        <f t="shared" si="15"/>
        <v>A9VG  732383004</v>
      </c>
      <c r="F189" s="10" t="str">
        <f t="shared" si="16"/>
        <v>PCCN: CRGARM:-:PLISN: A9VG :-:PCC: TIT :-: CAGE: 0D5M6:-:PART NUMBER: 732383004:-:NOMENCLATURE: SCREW,MACHINE:-:PRICE: $0.10:-:UNIQUE MODS: NO:-:PROPRIETARILY MFG FOR OEM: NO:-: :-: :-: :-: :-: NHA: MIL-001-1542</v>
      </c>
      <c r="G189" s="8" t="str">
        <f>IF([1]All!$B190="","",[1]All!$B190)</f>
        <v xml:space="preserve">A9VG </v>
      </c>
      <c r="H189" s="8"/>
      <c r="I189" s="8" t="str">
        <f>IF([1]All!$D190=0,"",[1]All!$D190)</f>
        <v>D</v>
      </c>
      <c r="J189" s="8" t="str">
        <f>IF([1]All!$E190=0,"",[1]All!$E190)</f>
        <v>0D5M6</v>
      </c>
      <c r="K189" s="8" t="s">
        <v>145</v>
      </c>
      <c r="L189" s="11" t="str">
        <f>IF([1]All!$L190=0,"",[1]All!$L190)</f>
        <v>SCREW,MACHINE</v>
      </c>
      <c r="M189" s="7" t="str">
        <f>IF([1]All!$AJ190=0,"",[1]All!$AJ190)</f>
        <v xml:space="preserve">A8Z2 </v>
      </c>
      <c r="N189" s="7" t="str">
        <f>IF([1]All!$R190=0,"",[1]All!$R190)</f>
        <v/>
      </c>
      <c r="O189" s="7" t="str">
        <f>IF([1]All!$S190=0,"",[1]All!$S190)</f>
        <v/>
      </c>
      <c r="P189" s="7" t="str">
        <f>IF([1]All!$V190=0,"",[1]All!$V190)</f>
        <v>0000000010</v>
      </c>
      <c r="Q189" s="3" t="str">
        <f t="shared" si="17"/>
        <v>$0.10</v>
      </c>
      <c r="R189" s="8" t="str">
        <f>IF([1]All!$F190=0,"",[1]All!$F190)</f>
        <v>732383004</v>
      </c>
    </row>
    <row r="190" spans="1:18">
      <c r="A190" s="7"/>
      <c r="B190" s="3">
        <f t="shared" si="12"/>
        <v>68</v>
      </c>
      <c r="C190" s="3" t="str">
        <f t="shared" si="13"/>
        <v>D</v>
      </c>
      <c r="D190" s="9" t="str">
        <f t="shared" si="14"/>
        <v>927801-118</v>
      </c>
      <c r="E190" s="3" t="str">
        <f t="shared" si="15"/>
        <v>A91C  927801-118</v>
      </c>
      <c r="F190" s="10" t="str">
        <f t="shared" si="16"/>
        <v>PCCN: CRGARM:-:PLISN: A91C :-:PCC: TIT :-: CAGE: 98410:-:PART NUMBER: 927801-118:-:NOMENCLATURE: CONNECTOR BODY,PLUG:-:PRICE: $8.83:-:UNIQUE MODS: NO:-:PROPRIETARILY MFG FOR OEM: NO:-: :-: :-: :-:NSN: 5935015721003 :-: NHA: MIL-001-1542</v>
      </c>
      <c r="G190" s="8" t="str">
        <f>IF([1]All!$B191="","",[1]All!$B191)</f>
        <v xml:space="preserve">A91C </v>
      </c>
      <c r="H190" s="8"/>
      <c r="I190" s="8" t="str">
        <f>IF([1]All!$D191=0,"",[1]All!$D191)</f>
        <v>D</v>
      </c>
      <c r="J190" s="8" t="str">
        <f>IF([1]All!$E191=0,"",[1]All!$E191)</f>
        <v>98410</v>
      </c>
      <c r="K190" s="8" t="s">
        <v>146</v>
      </c>
      <c r="L190" s="11" t="str">
        <f>IF([1]All!$L191=0,"",[1]All!$L191)</f>
        <v>CONNECTOR BODY,PLUG</v>
      </c>
      <c r="M190" s="7" t="str">
        <f>IF([1]All!$AJ191=0,"",[1]All!$AJ191)</f>
        <v xml:space="preserve">A8Z2 </v>
      </c>
      <c r="N190" s="7" t="str">
        <f>IF([1]All!$R191=0,"",[1]All!$R191)</f>
        <v>5935</v>
      </c>
      <c r="O190" s="7" t="str">
        <f>IF([1]All!$S191=0,"",[1]All!$S191)</f>
        <v>015721003</v>
      </c>
      <c r="P190" s="7" t="str">
        <f>IF([1]All!$V191=0,"",[1]All!$V191)</f>
        <v>0000000883</v>
      </c>
      <c r="Q190" s="3" t="str">
        <f t="shared" si="17"/>
        <v>$8.83</v>
      </c>
      <c r="R190" s="8" t="str">
        <f>IF([1]All!$F191=0,"",[1]All!$F191)</f>
        <v>927801-118</v>
      </c>
    </row>
    <row r="191" spans="1:18">
      <c r="A191" s="7"/>
      <c r="B191" s="3">
        <f t="shared" si="12"/>
        <v>68</v>
      </c>
      <c r="C191" s="3" t="str">
        <f t="shared" si="13"/>
        <v>D</v>
      </c>
      <c r="D191" s="9" t="str">
        <f t="shared" si="14"/>
        <v>730801-002</v>
      </c>
      <c r="E191" s="3" t="str">
        <f t="shared" si="15"/>
        <v>A968  730801-002</v>
      </c>
      <c r="F191" s="10" t="str">
        <f t="shared" si="16"/>
        <v>PCCN: CRGARM:-:PLISN: A968 :-:PCC: TIT :-: CAGE: 0D5M6:-:PART NUMBER: 730801-002:-:NOMENCLATURE: GASKET:-:PRICE: $0.37:-:UNIQUE MODS: NO:-:PROPRIETARILY MFG FOR OEM: NO:-: :-: :-: :-:NSN: 5330015057687 :-: NHA: MIL-001-1542</v>
      </c>
      <c r="G191" s="8" t="str">
        <f>IF([1]All!$B192="","",[1]All!$B192)</f>
        <v xml:space="preserve">A968 </v>
      </c>
      <c r="H191" s="8"/>
      <c r="I191" s="8" t="str">
        <f>IF([1]All!$D192=0,"",[1]All!$D192)</f>
        <v>D</v>
      </c>
      <c r="J191" s="8" t="str">
        <f>IF([1]All!$E192=0,"",[1]All!$E192)</f>
        <v>0D5M6</v>
      </c>
      <c r="K191" s="8" t="s">
        <v>147</v>
      </c>
      <c r="L191" s="11" t="str">
        <f>IF([1]All!$L192=0,"",[1]All!$L192)</f>
        <v>GASKET</v>
      </c>
      <c r="M191" s="7" t="str">
        <f>IF([1]All!$AJ192=0,"",[1]All!$AJ192)</f>
        <v xml:space="preserve">A8Z2 </v>
      </c>
      <c r="N191" s="7" t="str">
        <f>IF([1]All!$R192=0,"",[1]All!$R192)</f>
        <v>5330</v>
      </c>
      <c r="O191" s="7" t="str">
        <f>IF([1]All!$S192=0,"",[1]All!$S192)</f>
        <v>015057687</v>
      </c>
      <c r="P191" s="7" t="str">
        <f>IF([1]All!$V192=0,"",[1]All!$V192)</f>
        <v>0000000037</v>
      </c>
      <c r="Q191" s="3" t="str">
        <f t="shared" si="17"/>
        <v>$0.37</v>
      </c>
      <c r="R191" s="8" t="str">
        <f>IF([1]All!$F192=0,"",[1]All!$F192)</f>
        <v>730801-002</v>
      </c>
    </row>
    <row r="192" spans="1:18">
      <c r="A192" s="7"/>
      <c r="B192" s="3">
        <f t="shared" si="12"/>
        <v>68</v>
      </c>
      <c r="C192" s="3" t="str">
        <f t="shared" si="13"/>
        <v>D</v>
      </c>
      <c r="D192" s="9" t="str">
        <f t="shared" si="14"/>
        <v>DT04-4P</v>
      </c>
      <c r="E192" s="3" t="str">
        <f t="shared" si="15"/>
        <v>BAC4  DT04-4P</v>
      </c>
      <c r="F192" s="10" t="str">
        <f t="shared" si="16"/>
        <v>PCCN: CRGARM:-:PLISN: BAC4 :-:PCC: TIT :-: CAGE: 11139:-:PART NUMBER: DT04-4P:-:NOMENCLATURE: CONNECTOR,PLUG,ELEC:-:PRICE: $1.26:-:UNIQUE MODS: NO:-:PROPRIETARILY MFG FOR OEM: NO:-: :-: :-: :-:NSN: 5935015034847 :-: NHA: MIL-001-1542</v>
      </c>
      <c r="G192" s="8" t="str">
        <f>IF([1]All!$B193="","",[1]All!$B193)</f>
        <v xml:space="preserve">BAC4 </v>
      </c>
      <c r="H192" s="8"/>
      <c r="I192" s="8" t="str">
        <f>IF([1]All!$D193=0,"",[1]All!$D193)</f>
        <v>D</v>
      </c>
      <c r="J192" s="8" t="str">
        <f>IF([1]All!$E193=0,"",[1]All!$E193)</f>
        <v>11139</v>
      </c>
      <c r="K192" s="8" t="s">
        <v>148</v>
      </c>
      <c r="L192" s="11" t="str">
        <f>IF([1]All!$L193=0,"",[1]All!$L193)</f>
        <v>CONNECTOR,PLUG,ELEC</v>
      </c>
      <c r="M192" s="7" t="str">
        <f>IF([1]All!$AJ193=0,"",[1]All!$AJ193)</f>
        <v xml:space="preserve">A8Z2 </v>
      </c>
      <c r="N192" s="7" t="str">
        <f>IF([1]All!$R193=0,"",[1]All!$R193)</f>
        <v>5935</v>
      </c>
      <c r="O192" s="7" t="str">
        <f>IF([1]All!$S193=0,"",[1]All!$S193)</f>
        <v>015034847</v>
      </c>
      <c r="P192" s="7" t="str">
        <f>IF([1]All!$V193=0,"",[1]All!$V193)</f>
        <v>0000000126</v>
      </c>
      <c r="Q192" s="3" t="str">
        <f t="shared" si="17"/>
        <v>$1.26</v>
      </c>
      <c r="R192" s="8" t="str">
        <f>IF([1]All!$F193=0,"",[1]All!$F193)</f>
        <v>DT04-4P</v>
      </c>
    </row>
    <row r="193" spans="1:18">
      <c r="A193" s="7"/>
      <c r="B193" s="3">
        <f t="shared" si="12"/>
        <v>68</v>
      </c>
      <c r="C193" s="3" t="str">
        <f t="shared" si="13"/>
        <v>D</v>
      </c>
      <c r="D193" s="9" t="str">
        <f t="shared" si="14"/>
        <v>W4P</v>
      </c>
      <c r="E193" s="3" t="str">
        <f t="shared" si="15"/>
        <v>BAJ0  W4P</v>
      </c>
      <c r="F193" s="10" t="str">
        <f t="shared" si="16"/>
        <v>PCCN: CRGARM:-:PLISN: BAJ0 :-:PCC: TIT :-: CAGE: 11139:-:PART NUMBER: W4P:-:NOMENCLATURE: RETAINER,ELECTRICAL:-:PRICE: $0.09:-:UNIQUE MODS: NO:-:PROPRIETARILY MFG FOR OEM: NO:-: :-: :-: :-:NSN: 5935015037348 :-: NHA: MIL-001-1542</v>
      </c>
      <c r="G193" s="8" t="str">
        <f>IF([1]All!$B194="","",[1]All!$B194)</f>
        <v xml:space="preserve">BAJ0 </v>
      </c>
      <c r="H193" s="8"/>
      <c r="I193" s="8" t="str">
        <f>IF([1]All!$D194=0,"",[1]All!$D194)</f>
        <v>D</v>
      </c>
      <c r="J193" s="8" t="str">
        <f>IF([1]All!$E194=0,"",[1]All!$E194)</f>
        <v>11139</v>
      </c>
      <c r="K193" s="8" t="s">
        <v>149</v>
      </c>
      <c r="L193" s="11" t="str">
        <f>IF([1]All!$L194=0,"",[1]All!$L194)</f>
        <v>RETAINER,ELECTRICAL</v>
      </c>
      <c r="M193" s="7" t="str">
        <f>IF([1]All!$AJ194=0,"",[1]All!$AJ194)</f>
        <v xml:space="preserve">A8Z2 </v>
      </c>
      <c r="N193" s="7" t="str">
        <f>IF([1]All!$R194=0,"",[1]All!$R194)</f>
        <v>5935</v>
      </c>
      <c r="O193" s="7" t="str">
        <f>IF([1]All!$S194=0,"",[1]All!$S194)</f>
        <v>015037348</v>
      </c>
      <c r="P193" s="7" t="str">
        <f>IF([1]All!$V194=0,"",[1]All!$V194)</f>
        <v>0000000009</v>
      </c>
      <c r="Q193" s="3" t="str">
        <f t="shared" si="17"/>
        <v>$0.09</v>
      </c>
      <c r="R193" s="8" t="str">
        <f>IF([1]All!$F194=0,"",[1]All!$F194)</f>
        <v>W4P</v>
      </c>
    </row>
    <row r="194" spans="1:18">
      <c r="A194" s="7"/>
      <c r="B194" s="3">
        <f t="shared" ref="B194:B257" si="18">IF(C194="","",CODE(C194))</f>
        <v>68</v>
      </c>
      <c r="C194" s="3" t="str">
        <f t="shared" si="13"/>
        <v>D</v>
      </c>
      <c r="D194" s="9" t="str">
        <f t="shared" si="14"/>
        <v>0460-202-16141</v>
      </c>
      <c r="E194" s="3" t="str">
        <f t="shared" si="15"/>
        <v>BAQW  0460-202-16141</v>
      </c>
      <c r="F194" s="10" t="str">
        <f t="shared" si="16"/>
        <v>PCCN: CRGARM:-:PLISN: BAQW :-:PCC: TIT :-: CAGE: 11139:-:PART NUMBER: 0460-202-16141:-:NOMENCLATURE: CONTACT,ELECTRICAL:-:PRICE: $0.32:-:UNIQUE MODS: NO:-:PROPRIETARILY MFG FOR OEM: NO:-: :-: :-: :-:NSN: 5999012163648 :-: NHA: MIL-001-1542</v>
      </c>
      <c r="G194" s="8" t="str">
        <f>IF([1]All!$B195="","",[1]All!$B195)</f>
        <v xml:space="preserve">BAQW </v>
      </c>
      <c r="H194" s="8"/>
      <c r="I194" s="8" t="str">
        <f>IF([1]All!$D195=0,"",[1]All!$D195)</f>
        <v>D</v>
      </c>
      <c r="J194" s="8" t="str">
        <f>IF([1]All!$E195=0,"",[1]All!$E195)</f>
        <v>11139</v>
      </c>
      <c r="K194" s="8" t="s">
        <v>150</v>
      </c>
      <c r="L194" s="11" t="str">
        <f>IF([1]All!$L195=0,"",[1]All!$L195)</f>
        <v>CONTACT,ELECTRICAL</v>
      </c>
      <c r="M194" s="7" t="str">
        <f>IF([1]All!$AJ195=0,"",[1]All!$AJ195)</f>
        <v xml:space="preserve">A8Z2 </v>
      </c>
      <c r="N194" s="7" t="str">
        <f>IF([1]All!$R195=0,"",[1]All!$R195)</f>
        <v>5999</v>
      </c>
      <c r="O194" s="7" t="str">
        <f>IF([1]All!$S195=0,"",[1]All!$S195)</f>
        <v>012163648</v>
      </c>
      <c r="P194" s="7" t="str">
        <f>IF([1]All!$V195=0,"",[1]All!$V195)</f>
        <v>0000000032</v>
      </c>
      <c r="Q194" s="3" t="str">
        <f t="shared" si="17"/>
        <v>$0.32</v>
      </c>
      <c r="R194" s="8" t="str">
        <f>IF([1]All!$F195=0,"",[1]All!$F195)</f>
        <v>0460-202-16141</v>
      </c>
    </row>
    <row r="195" spans="1:18">
      <c r="A195" s="7"/>
      <c r="B195" s="3">
        <f t="shared" si="18"/>
        <v>67</v>
      </c>
      <c r="C195" s="3" t="str">
        <f t="shared" ref="C195:C258" si="19">I195</f>
        <v>C</v>
      </c>
      <c r="D195" s="9" t="str">
        <f t="shared" ref="D195:D258" si="20">K195</f>
        <v>MIL-001-619</v>
      </c>
      <c r="E195" s="3" t="str">
        <f t="shared" ref="E195:E258" si="21">G195&amp;" "&amp;D195</f>
        <v>BAWS  MIL-001-619</v>
      </c>
      <c r="F195" s="10" t="str">
        <f t="shared" ref="F195:F258" si="22">$A$2&amp;":-:"&amp;"PLISN: "&amp;$G195&amp;":-:"&amp;$A$4&amp;" :-: "&amp;"CAGE: "&amp;J195&amp;":-:"&amp;"PART NUMBER: " &amp; R195&amp;":-:NOMENCLATURE: "&amp;L195&amp;":-:PRICE: " &amp; Q195&amp;":-:"&amp;$A$9&amp;":-:"&amp;$A$10&amp;":-: :-: :-: :-:"&amp;IF(N195="","","NSN: "&amp;N195&amp;O195)&amp;IF(M195="",""," :-: NHA: "&amp;VLOOKUP(M195,G$2:L$65000,5,FALSE)&amp;IF(VLOOKUP(M195,G$2:O$65000,8,FALSE)="",""," :-: NHA NSN: "&amp;VLOOKUP(M195,G$2:O$65000,8,FALSE)&amp;VLOOKUP(M195,G$2:O$65000,9,FALSE)))</f>
        <v>PCCN: CRGARM:-:PLISN: BAWS :-:PCC: TIT :-: CAGE: 0UJB5:-:PART NUMBER: MIL-001-619:-:NOMENCLATURE: HOSE,NONMETALLIC:-:PRICE: $185.31:-:UNIQUE MODS: NO:-:PROPRIETARILY MFG FOR OEM: NO:-: :-: :-: :-: :-: NHA: 12574288</v>
      </c>
      <c r="G195" s="8" t="str">
        <f>IF([1]All!$B196="","",[1]All!$B196)</f>
        <v xml:space="preserve">BAWS </v>
      </c>
      <c r="H195" s="8"/>
      <c r="I195" s="8" t="str">
        <f>IF([1]All!$D196=0,"",[1]All!$D196)</f>
        <v>C</v>
      </c>
      <c r="J195" s="8" t="str">
        <f>IF([1]All!$E196=0,"",[1]All!$E196)</f>
        <v>0UJB5</v>
      </c>
      <c r="K195" s="8" t="s">
        <v>151</v>
      </c>
      <c r="L195" s="11" t="str">
        <f>IF([1]All!$L196=0,"",[1]All!$L196)</f>
        <v>HOSE,NONMETALLIC</v>
      </c>
      <c r="M195" s="7" t="str">
        <f>IF([1]All!$AJ196=0,"",[1]All!$AJ196)</f>
        <v xml:space="preserve">AAF6 </v>
      </c>
      <c r="N195" s="7" t="str">
        <f>IF([1]All!$R196=0,"",[1]All!$R196)</f>
        <v/>
      </c>
      <c r="O195" s="7" t="str">
        <f>IF([1]All!$S196=0,"",[1]All!$S196)</f>
        <v/>
      </c>
      <c r="P195" s="7" t="str">
        <f>IF([1]All!$V196=0,"",[1]All!$V196)</f>
        <v>0000018531</v>
      </c>
      <c r="Q195" s="3" t="str">
        <f t="shared" ref="Q195:Q258" si="23">IF(ISERROR(FIND(".",P195*0.01)),"$"&amp;P195*0.01&amp;".00",IF(FIND(".",P195*0.01)&lt;LEN(P195*0.01)-1,"$"&amp;P195*0.01,"$"&amp;P195*0.01&amp;"0"))</f>
        <v>$185.31</v>
      </c>
      <c r="R195" s="8" t="str">
        <f>IF([1]All!$F196=0,"",[1]All!$F196)</f>
        <v>MIL-001-619</v>
      </c>
    </row>
    <row r="196" spans="1:18">
      <c r="A196" s="7"/>
      <c r="B196" s="3">
        <f t="shared" si="18"/>
        <v>67</v>
      </c>
      <c r="C196" s="3" t="str">
        <f t="shared" si="19"/>
        <v>C</v>
      </c>
      <c r="D196" s="9" t="str">
        <f t="shared" si="20"/>
        <v>MIL-001-1541</v>
      </c>
      <c r="E196" s="3" t="str">
        <f t="shared" si="21"/>
        <v>BA2N  MIL-001-1541</v>
      </c>
      <c r="F196" s="10" t="str">
        <f t="shared" si="22"/>
        <v>PCCN: CRGARM:-:PLISN: BA2N :-:PCC: TIT :-: CAGE: 0UJB5:-:PART NUMBER: MIL-001-1541:-:NOMENCLATURE: CABLE ASSEMBLY,SPEC:-:PRICE: $82.61:-:UNIQUE MODS: NO:-:PROPRIETARILY MFG FOR OEM: NO:-: :-: :-: :-: :-: NHA: 12574288</v>
      </c>
      <c r="G196" s="8" t="str">
        <f>IF([1]All!$B197="","",[1]All!$B197)</f>
        <v xml:space="preserve">BA2N </v>
      </c>
      <c r="H196" s="8"/>
      <c r="I196" s="8" t="str">
        <f>IF([1]All!$D197=0,"",[1]All!$D197)</f>
        <v>C</v>
      </c>
      <c r="J196" s="8" t="str">
        <f>IF([1]All!$E197=0,"",[1]All!$E197)</f>
        <v>0UJB5</v>
      </c>
      <c r="K196" s="8" t="s">
        <v>152</v>
      </c>
      <c r="L196" s="11" t="str">
        <f>IF([1]All!$L197=0,"",[1]All!$L197)</f>
        <v>CABLE ASSEMBLY,SPEC</v>
      </c>
      <c r="M196" s="7" t="str">
        <f>IF([1]All!$AJ197=0,"",[1]All!$AJ197)</f>
        <v xml:space="preserve">AAF6 </v>
      </c>
      <c r="N196" s="7" t="str">
        <f>IF([1]All!$R197=0,"",[1]All!$R197)</f>
        <v/>
      </c>
      <c r="O196" s="7" t="str">
        <f>IF([1]All!$S197=0,"",[1]All!$S197)</f>
        <v/>
      </c>
      <c r="P196" s="7" t="str">
        <f>IF([1]All!$V197=0,"",[1]All!$V197)</f>
        <v>0000008261</v>
      </c>
      <c r="Q196" s="3" t="str">
        <f t="shared" si="23"/>
        <v>$82.61</v>
      </c>
      <c r="R196" s="8" t="str">
        <f>IF([1]All!$F197=0,"",[1]All!$F197)</f>
        <v>MIL-001-1541</v>
      </c>
    </row>
    <row r="197" spans="1:18">
      <c r="A197" s="7"/>
      <c r="B197" s="3">
        <f t="shared" si="18"/>
        <v>68</v>
      </c>
      <c r="C197" s="3" t="str">
        <f t="shared" si="19"/>
        <v>D</v>
      </c>
      <c r="D197" s="9" t="str">
        <f t="shared" si="20"/>
        <v>7106K18</v>
      </c>
      <c r="E197" s="3" t="str">
        <f t="shared" si="21"/>
        <v>BA8J  7106K18</v>
      </c>
      <c r="F197" s="10" t="str">
        <f t="shared" si="22"/>
        <v>PCCN: CRGARM:-:PLISN: BA8J :-:PCC: TIT :-: CAGE: 39428:-:PART NUMBER: 7106K18:-:NOMENCLATURE: TERMINAL,LUG:-:PRICE: $4.42:-:UNIQUE MODS: NO:-:PROPRIETARILY MFG FOR OEM: NO:-: :-: :-: :-:NSN: 5940012487774 :-: NHA: MIL-001-1541</v>
      </c>
      <c r="G197" s="8" t="str">
        <f>IF([1]All!$B198="","",[1]All!$B198)</f>
        <v xml:space="preserve">BA8J </v>
      </c>
      <c r="H197" s="8"/>
      <c r="I197" s="8" t="str">
        <f>IF([1]All!$D198=0,"",[1]All!$D198)</f>
        <v>D</v>
      </c>
      <c r="J197" s="8" t="str">
        <f>IF([1]All!$E198=0,"",[1]All!$E198)</f>
        <v>39428</v>
      </c>
      <c r="K197" s="8" t="s">
        <v>403</v>
      </c>
      <c r="L197" s="11" t="str">
        <f>IF([1]All!$L198=0,"",[1]All!$L198)</f>
        <v>TERMINAL,LUG</v>
      </c>
      <c r="M197" s="7" t="str">
        <f>IF([1]All!$AJ198=0,"",[1]All!$AJ198)</f>
        <v xml:space="preserve">BA2N </v>
      </c>
      <c r="N197" s="7" t="str">
        <f>IF([1]All!$R198=0,"",[1]All!$R198)</f>
        <v>5940</v>
      </c>
      <c r="O197" s="7" t="str">
        <f>IF([1]All!$S198=0,"",[1]All!$S198)</f>
        <v>012487774</v>
      </c>
      <c r="P197" s="7" t="str">
        <f>IF([1]All!$V198=0,"",[1]All!$V198)</f>
        <v>0000000442</v>
      </c>
      <c r="Q197" s="3" t="str">
        <f t="shared" si="23"/>
        <v>$4.42</v>
      </c>
      <c r="R197" s="8" t="str">
        <f>IF([1]All!$F198=0,"",[1]All!$F198)</f>
        <v>7106K18</v>
      </c>
    </row>
    <row r="198" spans="1:18">
      <c r="A198" s="7"/>
      <c r="B198" s="3">
        <f t="shared" si="18"/>
        <v>68</v>
      </c>
      <c r="C198" s="3" t="str">
        <f t="shared" si="19"/>
        <v>D</v>
      </c>
      <c r="D198" s="9" t="str">
        <f t="shared" si="20"/>
        <v>907-BK</v>
      </c>
      <c r="E198" s="3" t="str">
        <f t="shared" si="21"/>
        <v>BBEE  907-BK</v>
      </c>
      <c r="F198" s="10" t="str">
        <f t="shared" si="22"/>
        <v>PCCN: CRGARM:-:PLISN: BBEE :-:PCC: TIT :-: CAGE: 034K5:-:PART NUMBER: 907-BK:-:NOMENCLATURE: TERMINAL:-:PRICE: $6.59:-:UNIQUE MODS: NO:-:PROPRIETARILY MFG FOR OEM: NO:-: :-: :-: :-: :-: NHA: MIL-001-1541</v>
      </c>
      <c r="G198" s="8" t="str">
        <f>IF([1]All!$B199="","",[1]All!$B199)</f>
        <v xml:space="preserve">BBEE </v>
      </c>
      <c r="H198" s="8"/>
      <c r="I198" s="8" t="str">
        <f>IF([1]All!$D199=0,"",[1]All!$D199)</f>
        <v>D</v>
      </c>
      <c r="J198" s="8" t="str">
        <f>IF([1]All!$E199=0,"",[1]All!$E199)</f>
        <v>034K5</v>
      </c>
      <c r="K198" s="8" t="s">
        <v>153</v>
      </c>
      <c r="L198" s="11" t="str">
        <f>IF([1]All!$L199=0,"",[1]All!$L199)</f>
        <v>TERMINAL</v>
      </c>
      <c r="M198" s="7" t="str">
        <f>IF([1]All!$AJ199=0,"",[1]All!$AJ199)</f>
        <v xml:space="preserve">BA2N </v>
      </c>
      <c r="N198" s="7" t="str">
        <f>IF([1]All!$R199=0,"",[1]All!$R199)</f>
        <v/>
      </c>
      <c r="O198" s="7" t="str">
        <f>IF([1]All!$S199=0,"",[1]All!$S199)</f>
        <v/>
      </c>
      <c r="P198" s="7" t="str">
        <f>IF([1]All!$V199=0,"",[1]All!$V199)</f>
        <v>0000000659</v>
      </c>
      <c r="Q198" s="3" t="str">
        <f t="shared" si="23"/>
        <v>$6.59</v>
      </c>
      <c r="R198" s="8" t="str">
        <f>IF([1]All!$F199=0,"",[1]All!$F199)</f>
        <v>907-BK</v>
      </c>
    </row>
    <row r="199" spans="1:18">
      <c r="A199" s="7"/>
      <c r="B199" s="3">
        <f t="shared" si="18"/>
        <v>68</v>
      </c>
      <c r="C199" s="3" t="str">
        <f t="shared" si="19"/>
        <v>D</v>
      </c>
      <c r="D199" s="9" t="str">
        <f t="shared" si="20"/>
        <v>P906-BK</v>
      </c>
      <c r="E199" s="3" t="str">
        <f t="shared" si="21"/>
        <v>BBLA  P906-BK</v>
      </c>
      <c r="F199" s="10" t="str">
        <f t="shared" si="22"/>
        <v>PCCN: CRGARM:-:PLISN: BBLA :-:PCC: TIT :-: CAGE: 034K5:-:PART NUMBER: P906-BK:-:NOMENCLATURE: CONNECTOR,PLUG,ELEC:-:PRICE: $17.02:-:UNIQUE MODS: NO:-:PROPRIETARILY MFG FOR OEM: NO:-: :-: :-: :-: :-: NHA: MIL-001-1541</v>
      </c>
      <c r="G199" s="8" t="str">
        <f>IF([1]All!$B200="","",[1]All!$B200)</f>
        <v xml:space="preserve">BBLA </v>
      </c>
      <c r="H199" s="8"/>
      <c r="I199" s="8" t="str">
        <f>IF([1]All!$D200=0,"",[1]All!$D200)</f>
        <v>D</v>
      </c>
      <c r="J199" s="8" t="str">
        <f>IF([1]All!$E200=0,"",[1]All!$E200)</f>
        <v>034K5</v>
      </c>
      <c r="K199" s="8" t="s">
        <v>154</v>
      </c>
      <c r="L199" s="11" t="str">
        <f>IF([1]All!$L200=0,"",[1]All!$L200)</f>
        <v>CONNECTOR,PLUG,ELEC</v>
      </c>
      <c r="M199" s="7" t="str">
        <f>IF([1]All!$AJ200=0,"",[1]All!$AJ200)</f>
        <v xml:space="preserve">BA2N </v>
      </c>
      <c r="N199" s="7" t="str">
        <f>IF([1]All!$R200=0,"",[1]All!$R200)</f>
        <v/>
      </c>
      <c r="O199" s="7" t="str">
        <f>IF([1]All!$S200=0,"",[1]All!$S200)</f>
        <v/>
      </c>
      <c r="P199" s="7" t="str">
        <f>IF([1]All!$V200=0,"",[1]All!$V200)</f>
        <v>0000001702</v>
      </c>
      <c r="Q199" s="3" t="str">
        <f t="shared" si="23"/>
        <v>$17.02</v>
      </c>
      <c r="R199" s="8" t="str">
        <f>IF([1]All!$F200=0,"",[1]All!$F200)</f>
        <v>P906-BK</v>
      </c>
    </row>
    <row r="200" spans="1:18">
      <c r="A200" s="7"/>
      <c r="B200" s="3">
        <f t="shared" si="18"/>
        <v>68</v>
      </c>
      <c r="C200" s="3" t="str">
        <f t="shared" si="19"/>
        <v>D</v>
      </c>
      <c r="D200" s="9" t="str">
        <f t="shared" si="20"/>
        <v>MIL-001-765</v>
      </c>
      <c r="E200" s="3" t="str">
        <f t="shared" si="21"/>
        <v>BBR6  MIL-001-765</v>
      </c>
      <c r="F200" s="10" t="str">
        <f t="shared" si="22"/>
        <v>PCCN: CRGARM:-:PLISN: BBR6 :-:PCC: TIT :-: CAGE: 0UJB5:-:PART NUMBER: MIL-001-765:-:NOMENCLATURE: CONDUIT,NONMETALLIC:-:PRICE: $5.00:-:UNIQUE MODS: NO:-:PROPRIETARILY MFG FOR OEM: NO:-: :-: :-: :-: :-: NHA: MIL-001-1541</v>
      </c>
      <c r="G200" s="8" t="str">
        <f>IF([1]All!$B201="","",[1]All!$B201)</f>
        <v xml:space="preserve">BBR6 </v>
      </c>
      <c r="H200" s="8"/>
      <c r="I200" s="8" t="str">
        <f>IF([1]All!$D201=0,"",[1]All!$D201)</f>
        <v>D</v>
      </c>
      <c r="J200" s="8" t="str">
        <f>IF([1]All!$E201=0,"",[1]All!$E201)</f>
        <v>0UJB5</v>
      </c>
      <c r="K200" s="8" t="s">
        <v>155</v>
      </c>
      <c r="L200" s="11" t="str">
        <f>IF([1]All!$L201=0,"",[1]All!$L201)</f>
        <v>CONDUIT,NONMETALLIC</v>
      </c>
      <c r="M200" s="7" t="str">
        <f>IF([1]All!$AJ201=0,"",[1]All!$AJ201)</f>
        <v xml:space="preserve">BA2N </v>
      </c>
      <c r="N200" s="7" t="str">
        <f>IF([1]All!$R201=0,"",[1]All!$R201)</f>
        <v/>
      </c>
      <c r="O200" s="7" t="str">
        <f>IF([1]All!$S201=0,"",[1]All!$S201)</f>
        <v/>
      </c>
      <c r="P200" s="7" t="str">
        <f>IF([1]All!$V201=0,"",[1]All!$V201)</f>
        <v>0000000500</v>
      </c>
      <c r="Q200" s="3" t="str">
        <f t="shared" si="23"/>
        <v>$5.00</v>
      </c>
      <c r="R200" s="8" t="str">
        <f>IF([1]All!$F201=0,"",[1]All!$F201)</f>
        <v>MIL-001-765</v>
      </c>
    </row>
    <row r="201" spans="1:18">
      <c r="A201" s="7"/>
      <c r="B201" s="3">
        <f t="shared" si="18"/>
        <v>68</v>
      </c>
      <c r="C201" s="3" t="str">
        <f t="shared" si="19"/>
        <v>D</v>
      </c>
      <c r="D201" s="9" t="str">
        <f t="shared" si="20"/>
        <v>MIL-001-806</v>
      </c>
      <c r="E201" s="3" t="str">
        <f t="shared" si="21"/>
        <v>BBX2  MIL-001-806</v>
      </c>
      <c r="F201" s="10" t="str">
        <f t="shared" si="22"/>
        <v>PCCN: CRGARM:-:PLISN: BBX2 :-:PCC: TIT :-: CAGE: 0UJB5:-:PART NUMBER: MIL-001-806:-:NOMENCLATURE: WIRE,ELECTRICAL:-:PRICE: $20.00:-:UNIQUE MODS: NO:-:PROPRIETARILY MFG FOR OEM: NO:-: :-: :-: :-: :-: NHA: MIL-001-1541</v>
      </c>
      <c r="G201" s="8" t="str">
        <f>IF([1]All!$B202="","",[1]All!$B202)</f>
        <v xml:space="preserve">BBX2 </v>
      </c>
      <c r="H201" s="8"/>
      <c r="I201" s="8" t="str">
        <f>IF([1]All!$D202=0,"",[1]All!$D202)</f>
        <v>D</v>
      </c>
      <c r="J201" s="8" t="str">
        <f>IF([1]All!$E202=0,"",[1]All!$E202)</f>
        <v>0UJB5</v>
      </c>
      <c r="K201" s="8" t="s">
        <v>156</v>
      </c>
      <c r="L201" s="11" t="str">
        <f>IF([1]All!$L202=0,"",[1]All!$L202)</f>
        <v>WIRE,ELECTRICAL</v>
      </c>
      <c r="M201" s="7" t="str">
        <f>IF([1]All!$AJ202=0,"",[1]All!$AJ202)</f>
        <v xml:space="preserve">BA2N </v>
      </c>
      <c r="N201" s="7" t="str">
        <f>IF([1]All!$R202=0,"",[1]All!$R202)</f>
        <v/>
      </c>
      <c r="O201" s="7" t="str">
        <f>IF([1]All!$S202=0,"",[1]All!$S202)</f>
        <v/>
      </c>
      <c r="P201" s="7" t="str">
        <f>IF([1]All!$V202=0,"",[1]All!$V202)</f>
        <v>0000002000</v>
      </c>
      <c r="Q201" s="3" t="str">
        <f t="shared" si="23"/>
        <v>$20.00</v>
      </c>
      <c r="R201" s="8" t="str">
        <f>IF([1]All!$F202=0,"",[1]All!$F202)</f>
        <v>MIL-001-806</v>
      </c>
    </row>
    <row r="202" spans="1:18">
      <c r="A202" s="7"/>
      <c r="B202" s="3">
        <f t="shared" si="18"/>
        <v>68</v>
      </c>
      <c r="C202" s="3" t="str">
        <f t="shared" si="19"/>
        <v>D</v>
      </c>
      <c r="D202" s="9" t="str">
        <f t="shared" si="20"/>
        <v>18694</v>
      </c>
      <c r="E202" s="3" t="str">
        <f t="shared" si="21"/>
        <v>BB3Y  18694</v>
      </c>
      <c r="F202" s="10" t="str">
        <f t="shared" si="22"/>
        <v>PCCN: CRGARM:-:PLISN: BB3Y :-:PCC: TIT :-: CAGE: 0PVE5:-:PART NUMBER: 18694:-:NOMENCLATURE: HEAT SHRINK SLEEVE:-:PRICE: $10.00:-:UNIQUE MODS: NO:-:PROPRIETARILY MFG FOR OEM: NO:-: :-: :-: :-: :-: NHA: MIL-001-1541</v>
      </c>
      <c r="G202" s="8" t="str">
        <f>IF([1]All!$B203="","",[1]All!$B203)</f>
        <v xml:space="preserve">BB3Y </v>
      </c>
      <c r="H202" s="8"/>
      <c r="I202" s="8" t="str">
        <f>IF([1]All!$D203=0,"",[1]All!$D203)</f>
        <v>D</v>
      </c>
      <c r="J202" s="8" t="str">
        <f>IF([1]All!$E203=0,"",[1]All!$E203)</f>
        <v>0PVE5</v>
      </c>
      <c r="K202" s="8" t="s">
        <v>434</v>
      </c>
      <c r="L202" s="11" t="str">
        <f>IF([1]All!$L203=0,"",[1]All!$L203)</f>
        <v>HEAT SHRINK SLEEVE</v>
      </c>
      <c r="M202" s="7" t="str">
        <f>IF([1]All!$AJ203=0,"",[1]All!$AJ203)</f>
        <v xml:space="preserve">BA2N </v>
      </c>
      <c r="N202" s="7" t="str">
        <f>IF([1]All!$R203=0,"",[1]All!$R203)</f>
        <v/>
      </c>
      <c r="O202" s="7" t="str">
        <f>IF([1]All!$S203=0,"",[1]All!$S203)</f>
        <v/>
      </c>
      <c r="P202" s="7" t="str">
        <f>IF([1]All!$V203=0,"",[1]All!$V203)</f>
        <v>0000001000</v>
      </c>
      <c r="Q202" s="3" t="str">
        <f t="shared" si="23"/>
        <v>$10.00</v>
      </c>
      <c r="R202" s="8" t="str">
        <f>IF([1]All!$F203=0,"",[1]All!$F203)</f>
        <v>18694</v>
      </c>
    </row>
    <row r="203" spans="1:18">
      <c r="A203" s="7"/>
      <c r="B203" s="3">
        <f t="shared" si="18"/>
        <v>68</v>
      </c>
      <c r="C203" s="3" t="str">
        <f t="shared" si="19"/>
        <v>D</v>
      </c>
      <c r="D203" s="9" t="str">
        <f t="shared" si="20"/>
        <v>MIL-001-808</v>
      </c>
      <c r="E203" s="3" t="str">
        <f t="shared" si="21"/>
        <v>BB9U  MIL-001-808</v>
      </c>
      <c r="F203" s="10" t="str">
        <f t="shared" si="22"/>
        <v>PCCN: CRGARM:-:PLISN: BB9U :-:PCC: TIT :-: CAGE: 0UJB5:-:PART NUMBER: MIL-001-808:-:NOMENCLATURE: WIRE,ELECTRICAL:-:PRICE: $10.00:-:UNIQUE MODS: NO:-:PROPRIETARILY MFG FOR OEM: NO:-: :-: :-: :-: :-: NHA: MIL-001-1541</v>
      </c>
      <c r="G203" s="8" t="str">
        <f>IF([1]All!$B204="","",[1]All!$B204)</f>
        <v xml:space="preserve">BB9U </v>
      </c>
      <c r="H203" s="8"/>
      <c r="I203" s="8" t="str">
        <f>IF([1]All!$D204=0,"",[1]All!$D204)</f>
        <v>D</v>
      </c>
      <c r="J203" s="8" t="str">
        <f>IF([1]All!$E204=0,"",[1]All!$E204)</f>
        <v>0UJB5</v>
      </c>
      <c r="K203" s="8" t="s">
        <v>157</v>
      </c>
      <c r="L203" s="11" t="str">
        <f>IF([1]All!$L204=0,"",[1]All!$L204)</f>
        <v>WIRE,ELECTRICAL</v>
      </c>
      <c r="M203" s="7" t="str">
        <f>IF([1]All!$AJ204=0,"",[1]All!$AJ204)</f>
        <v xml:space="preserve">BA2N </v>
      </c>
      <c r="N203" s="7" t="str">
        <f>IF([1]All!$R204=0,"",[1]All!$R204)</f>
        <v/>
      </c>
      <c r="O203" s="7" t="str">
        <f>IF([1]All!$S204=0,"",[1]All!$S204)</f>
        <v/>
      </c>
      <c r="P203" s="7" t="str">
        <f>IF([1]All!$V204=0,"",[1]All!$V204)</f>
        <v>0000001000</v>
      </c>
      <c r="Q203" s="3" t="str">
        <f t="shared" si="23"/>
        <v>$10.00</v>
      </c>
      <c r="R203" s="8" t="str">
        <f>IF([1]All!$F204=0,"",[1]All!$F204)</f>
        <v>MIL-001-808</v>
      </c>
    </row>
    <row r="204" spans="1:18">
      <c r="A204" s="7"/>
      <c r="B204" s="3">
        <f t="shared" si="18"/>
        <v>68</v>
      </c>
      <c r="C204" s="3" t="str">
        <f t="shared" si="19"/>
        <v>D</v>
      </c>
      <c r="D204" s="9" t="str">
        <f t="shared" si="20"/>
        <v>18693</v>
      </c>
      <c r="E204" s="3" t="str">
        <f t="shared" si="21"/>
        <v>BCFQ  18693</v>
      </c>
      <c r="F204" s="10" t="str">
        <f t="shared" si="22"/>
        <v>PCCN: CRGARM:-:PLISN: BCFQ :-:PCC: TIT :-: CAGE: 0PVE5:-:PART NUMBER: 18693:-:NOMENCLATURE: HEAT SHRINK SLEEVE:-:PRICE: $5.00:-:UNIQUE MODS: NO:-:PROPRIETARILY MFG FOR OEM: NO:-: :-: :-: :-: :-: NHA: MIL-001-1541</v>
      </c>
      <c r="G204" s="8" t="str">
        <f>IF([1]All!$B205="","",[1]All!$B205)</f>
        <v xml:space="preserve">BCFQ </v>
      </c>
      <c r="H204" s="8"/>
      <c r="I204" s="8" t="str">
        <f>IF([1]All!$D205=0,"",[1]All!$D205)</f>
        <v>D</v>
      </c>
      <c r="J204" s="8" t="str">
        <f>IF([1]All!$E205=0,"",[1]All!$E205)</f>
        <v>0PVE5</v>
      </c>
      <c r="K204" s="8" t="s">
        <v>435</v>
      </c>
      <c r="L204" s="11" t="str">
        <f>IF([1]All!$L205=0,"",[1]All!$L205)</f>
        <v>HEAT SHRINK SLEEVE</v>
      </c>
      <c r="M204" s="7" t="str">
        <f>IF([1]All!$AJ205=0,"",[1]All!$AJ205)</f>
        <v xml:space="preserve">BA2N </v>
      </c>
      <c r="N204" s="7" t="str">
        <f>IF([1]All!$R205=0,"",[1]All!$R205)</f>
        <v/>
      </c>
      <c r="O204" s="7" t="str">
        <f>IF([1]All!$S205=0,"",[1]All!$S205)</f>
        <v/>
      </c>
      <c r="P204" s="7" t="str">
        <f>IF([1]All!$V205=0,"",[1]All!$V205)</f>
        <v>0000000500</v>
      </c>
      <c r="Q204" s="3" t="str">
        <f t="shared" si="23"/>
        <v>$5.00</v>
      </c>
      <c r="R204" s="8" t="str">
        <f>IF([1]All!$F205=0,"",[1]All!$F205)</f>
        <v>18693</v>
      </c>
    </row>
    <row r="205" spans="1:18">
      <c r="A205" s="7"/>
      <c r="B205" s="3">
        <f t="shared" si="18"/>
        <v>68</v>
      </c>
      <c r="C205" s="3" t="str">
        <f t="shared" si="19"/>
        <v>D</v>
      </c>
      <c r="D205" s="9" t="str">
        <f t="shared" si="20"/>
        <v>MIL-001-764</v>
      </c>
      <c r="E205" s="3" t="str">
        <f t="shared" si="21"/>
        <v>BCML  MIL-001-764</v>
      </c>
      <c r="F205" s="10" t="str">
        <f t="shared" si="22"/>
        <v>PCCN: CRGARM:-:PLISN: BCML :-:PCC: TIT :-: CAGE: 0UJB5:-:PART NUMBER: MIL-001-764:-:NOMENCLATURE: CONDUIT,NONMETALLIC:-:PRICE: $10.00:-:UNIQUE MODS: NO:-:PROPRIETARILY MFG FOR OEM: NO:-: :-: :-: :-: :-: NHA: MIL-001-1541</v>
      </c>
      <c r="G205" s="8" t="str">
        <f>IF([1]All!$B206="","",[1]All!$B206)</f>
        <v xml:space="preserve">BCML </v>
      </c>
      <c r="H205" s="8"/>
      <c r="I205" s="8" t="str">
        <f>IF([1]All!$D206=0,"",[1]All!$D206)</f>
        <v>D</v>
      </c>
      <c r="J205" s="8" t="str">
        <f>IF([1]All!$E206=0,"",[1]All!$E206)</f>
        <v>0UJB5</v>
      </c>
      <c r="K205" s="8" t="s">
        <v>158</v>
      </c>
      <c r="L205" s="11" t="str">
        <f>IF([1]All!$L206=0,"",[1]All!$L206)</f>
        <v>CONDUIT,NONMETALLIC</v>
      </c>
      <c r="M205" s="7" t="str">
        <f>IF([1]All!$AJ206=0,"",[1]All!$AJ206)</f>
        <v xml:space="preserve">BA2N </v>
      </c>
      <c r="N205" s="7" t="str">
        <f>IF([1]All!$R206=0,"",[1]All!$R206)</f>
        <v/>
      </c>
      <c r="O205" s="7" t="str">
        <f>IF([1]All!$S206=0,"",[1]All!$S206)</f>
        <v/>
      </c>
      <c r="P205" s="7" t="str">
        <f>IF([1]All!$V206=0,"",[1]All!$V206)</f>
        <v>0000001000</v>
      </c>
      <c r="Q205" s="3" t="str">
        <f t="shared" si="23"/>
        <v>$10.00</v>
      </c>
      <c r="R205" s="8" t="str">
        <f>IF([1]All!$F206=0,"",[1]All!$F206)</f>
        <v>MIL-001-764</v>
      </c>
    </row>
    <row r="206" spans="1:18">
      <c r="A206" s="7"/>
      <c r="B206" s="3">
        <f t="shared" si="18"/>
        <v>67</v>
      </c>
      <c r="C206" s="3" t="str">
        <f t="shared" si="19"/>
        <v>C</v>
      </c>
      <c r="D206" s="9" t="str">
        <f t="shared" si="20"/>
        <v>MIL-001-047</v>
      </c>
      <c r="E206" s="3" t="str">
        <f t="shared" si="21"/>
        <v>BCTG  MIL-001-047</v>
      </c>
      <c r="F206" s="10" t="str">
        <f t="shared" si="22"/>
        <v>PCCN: CRGARM:-:PLISN: BCTG :-:PCC: TIT :-: CAGE: 0UJB5:-:PART NUMBER: MIL-001-047:-:NOMENCLATURE: BOOM:-:PRICE: $11512.49:-:UNIQUE MODS: NO:-:PROPRIETARILY MFG FOR OEM: NO:-: :-: :-: :-: :-: NHA: 12574288</v>
      </c>
      <c r="G206" s="8" t="str">
        <f>IF([1]All!$B207="","",[1]All!$B207)</f>
        <v xml:space="preserve">BCTG </v>
      </c>
      <c r="H206" s="8"/>
      <c r="I206" s="8" t="str">
        <f>IF([1]All!$D207=0,"",[1]All!$D207)</f>
        <v>C</v>
      </c>
      <c r="J206" s="8" t="str">
        <f>IF([1]All!$E207=0,"",[1]All!$E207)</f>
        <v>0UJB5</v>
      </c>
      <c r="K206" s="8" t="s">
        <v>159</v>
      </c>
      <c r="L206" s="11" t="str">
        <f>IF([1]All!$L207=0,"",[1]All!$L207)</f>
        <v>BOOM</v>
      </c>
      <c r="M206" s="7" t="str">
        <f>IF([1]All!$AJ207=0,"",[1]All!$AJ207)</f>
        <v xml:space="preserve">AAF6 </v>
      </c>
      <c r="N206" s="7" t="str">
        <f>IF([1]All!$R207=0,"",[1]All!$R207)</f>
        <v/>
      </c>
      <c r="O206" s="7" t="str">
        <f>IF([1]All!$S207=0,"",[1]All!$S207)</f>
        <v/>
      </c>
      <c r="P206" s="7" t="str">
        <f>IF([1]All!$V207=0,"",[1]All!$V207)</f>
        <v>0001151249</v>
      </c>
      <c r="Q206" s="3" t="str">
        <f t="shared" si="23"/>
        <v>$11512.49</v>
      </c>
      <c r="R206" s="8" t="str">
        <f>IF([1]All!$F207=0,"",[1]All!$F207)</f>
        <v>MIL-001-047</v>
      </c>
    </row>
    <row r="207" spans="1:18">
      <c r="A207" s="7"/>
      <c r="B207" s="3">
        <f t="shared" si="18"/>
        <v>68</v>
      </c>
      <c r="C207" s="3" t="str">
        <f t="shared" si="19"/>
        <v>D</v>
      </c>
      <c r="D207" s="9" t="str">
        <f t="shared" si="20"/>
        <v>MIL-001-870</v>
      </c>
      <c r="E207" s="3" t="str">
        <f t="shared" si="21"/>
        <v>BCZC  MIL-001-870</v>
      </c>
      <c r="F207" s="10" t="str">
        <f t="shared" si="22"/>
        <v>PCCN: CRGARM:-:PLISN: BCZC :-:PCC: TIT :-: CAGE: 0UJB5:-:PART NUMBER: MIL-001-870:-:NOMENCLATURE: BOOM SECTION,OUTER,:-:PRICE: $2504.31:-:UNIQUE MODS: NO:-:PROPRIETARILY MFG FOR OEM: NO:-: :-: :-: :-: :-: NHA: MIL-001-047</v>
      </c>
      <c r="G207" s="8" t="str">
        <f>IF([1]All!$B208="","",[1]All!$B208)</f>
        <v xml:space="preserve">BCZC </v>
      </c>
      <c r="H207" s="8"/>
      <c r="I207" s="8" t="str">
        <f>IF([1]All!$D208=0,"",[1]All!$D208)</f>
        <v>D</v>
      </c>
      <c r="J207" s="8" t="str">
        <f>IF([1]All!$E208=0,"",[1]All!$E208)</f>
        <v>0UJB5</v>
      </c>
      <c r="K207" s="8" t="s">
        <v>160</v>
      </c>
      <c r="L207" s="11" t="str">
        <f>IF([1]All!$L208=0,"",[1]All!$L208)</f>
        <v>BOOM SECTION,OUTER,</v>
      </c>
      <c r="M207" s="7" t="str">
        <f>IF([1]All!$AJ208=0,"",[1]All!$AJ208)</f>
        <v xml:space="preserve">BCTG </v>
      </c>
      <c r="N207" s="7" t="str">
        <f>IF([1]All!$R208=0,"",[1]All!$R208)</f>
        <v/>
      </c>
      <c r="O207" s="7" t="str">
        <f>IF([1]All!$S208=0,"",[1]All!$S208)</f>
        <v/>
      </c>
      <c r="P207" s="7" t="str">
        <f>IF([1]All!$V208=0,"",[1]All!$V208)</f>
        <v>0000250431</v>
      </c>
      <c r="Q207" s="3" t="str">
        <f t="shared" si="23"/>
        <v>$2504.31</v>
      </c>
      <c r="R207" s="8" t="str">
        <f>IF([1]All!$F208=0,"",[1]All!$F208)</f>
        <v>MIL-001-870</v>
      </c>
    </row>
    <row r="208" spans="1:18">
      <c r="A208" s="7"/>
      <c r="B208" s="3">
        <f t="shared" si="18"/>
        <v>68</v>
      </c>
      <c r="C208" s="3" t="str">
        <f t="shared" si="19"/>
        <v>D</v>
      </c>
      <c r="D208" s="9" t="str">
        <f t="shared" si="20"/>
        <v>MIL-001-869</v>
      </c>
      <c r="E208" s="3" t="str">
        <f t="shared" si="21"/>
        <v>BC48  MIL-001-869</v>
      </c>
      <c r="F208" s="10" t="str">
        <f t="shared" si="22"/>
        <v>PCCN: CRGARM:-:PLISN: BC48 :-:PCC: TIT :-: CAGE: 0UJB5:-:PART NUMBER: MIL-001-869:-:NOMENCLATURE: BOOM SECTION,INNER,:-:PRICE: $314.92:-:UNIQUE MODS: NO:-:PROPRIETARILY MFG FOR OEM: NO:-: :-: :-: :-:NSN: 2590015659154 :-: NHA: MIL-001-047</v>
      </c>
      <c r="G208" s="8" t="str">
        <f>IF([1]All!$B209="","",[1]All!$B209)</f>
        <v xml:space="preserve">BC48 </v>
      </c>
      <c r="H208" s="8"/>
      <c r="I208" s="8" t="str">
        <f>IF([1]All!$D209=0,"",[1]All!$D209)</f>
        <v>D</v>
      </c>
      <c r="J208" s="8" t="str">
        <f>IF([1]All!$E209=0,"",[1]All!$E209)</f>
        <v>0UJB5</v>
      </c>
      <c r="K208" s="8" t="s">
        <v>161</v>
      </c>
      <c r="L208" s="11" t="str">
        <f>IF([1]All!$L209=0,"",[1]All!$L209)</f>
        <v>BOOM SECTION,INNER,</v>
      </c>
      <c r="M208" s="7" t="str">
        <f>IF([1]All!$AJ209=0,"",[1]All!$AJ209)</f>
        <v xml:space="preserve">BCTG </v>
      </c>
      <c r="N208" s="7" t="str">
        <f>IF([1]All!$R209=0,"",[1]All!$R209)</f>
        <v>2590</v>
      </c>
      <c r="O208" s="7" t="str">
        <f>IF([1]All!$S209=0,"",[1]All!$S209)</f>
        <v>015659154</v>
      </c>
      <c r="P208" s="7" t="str">
        <f>IF([1]All!$V209=0,"",[1]All!$V209)</f>
        <v>0000031492</v>
      </c>
      <c r="Q208" s="3" t="str">
        <f t="shared" si="23"/>
        <v>$314.92</v>
      </c>
      <c r="R208" s="8" t="str">
        <f>IF([1]All!$F209=0,"",[1]All!$F209)</f>
        <v>MIL-001-869</v>
      </c>
    </row>
    <row r="209" spans="1:18">
      <c r="A209" s="7"/>
      <c r="B209" s="3">
        <f t="shared" si="18"/>
        <v>68</v>
      </c>
      <c r="C209" s="3" t="str">
        <f t="shared" si="19"/>
        <v>D</v>
      </c>
      <c r="D209" s="9" t="str">
        <f t="shared" si="20"/>
        <v>26410</v>
      </c>
      <c r="E209" s="3" t="str">
        <f t="shared" si="21"/>
        <v>BDA4  26410</v>
      </c>
      <c r="F209" s="10" t="str">
        <f t="shared" si="22"/>
        <v>PCCN: CRGARM:-:PLISN: BDA4 :-:PCC: TIT :-: CAGE: 1UHB4:-:PART NUMBER: 26410:-:NOMENCLATURE: BOLT,SHOULDER:-:PRICE: $42.96:-:UNIQUE MODS: NO:-:PROPRIETARILY MFG FOR OEM: NO:-: :-: :-: :-:NSN: 5306016005346 :-: NHA: MIL-001-047</v>
      </c>
      <c r="G209" s="8" t="str">
        <f>IF([1]All!$B210="","",[1]All!$B210)</f>
        <v xml:space="preserve">BDA4 </v>
      </c>
      <c r="H209" s="8"/>
      <c r="I209" s="8" t="str">
        <f>IF([1]All!$D210=0,"",[1]All!$D210)</f>
        <v>D</v>
      </c>
      <c r="J209" s="8" t="str">
        <f>IF([1]All!$E210=0,"",[1]All!$E210)</f>
        <v>1UHB4</v>
      </c>
      <c r="K209" s="8" t="s">
        <v>162</v>
      </c>
      <c r="L209" s="11" t="str">
        <f>IF([1]All!$L210=0,"",[1]All!$L210)</f>
        <v>BOLT,SHOULDER</v>
      </c>
      <c r="M209" s="7" t="str">
        <f>IF([1]All!$AJ210=0,"",[1]All!$AJ210)</f>
        <v xml:space="preserve">BCTG </v>
      </c>
      <c r="N209" s="7" t="str">
        <f>IF([1]All!$R210=0,"",[1]All!$R210)</f>
        <v>5306</v>
      </c>
      <c r="O209" s="7" t="str">
        <f>IF([1]All!$S210=0,"",[1]All!$S210)</f>
        <v>016005346</v>
      </c>
      <c r="P209" s="7" t="str">
        <f>IF([1]All!$V210=0,"",[1]All!$V210)</f>
        <v>0000004296</v>
      </c>
      <c r="Q209" s="3" t="str">
        <f t="shared" si="23"/>
        <v>$42.96</v>
      </c>
      <c r="R209" s="8" t="str">
        <f>IF([1]All!$F210=0,"",[1]All!$F210)</f>
        <v>26410</v>
      </c>
    </row>
    <row r="210" spans="1:18">
      <c r="A210" s="7"/>
      <c r="B210" s="3">
        <f t="shared" si="18"/>
        <v>68</v>
      </c>
      <c r="C210" s="3" t="str">
        <f t="shared" si="19"/>
        <v>D</v>
      </c>
      <c r="D210" s="9" t="str">
        <f t="shared" si="20"/>
        <v>90126A038</v>
      </c>
      <c r="E210" s="3" t="str">
        <f t="shared" si="21"/>
        <v>BDG0  90126A038</v>
      </c>
      <c r="F210" s="10" t="str">
        <f t="shared" si="22"/>
        <v>PCCN: CRGARM:-:PLISN: BDG0 :-:PCC: TIT :-: CAGE: 39428:-:PART NUMBER: 90126A038:-:NOMENCLATURE: WASHER,FLAT:-:PRICE: $0.40:-:UNIQUE MODS: NO:-:PROPRIETARILY MFG FOR OEM: NO:-: :-: :-: :-:NSN: 5310015915664 :-: NHA: MIL-001-047</v>
      </c>
      <c r="G210" s="8" t="str">
        <f>IF([1]All!$B211="","",[1]All!$B211)</f>
        <v xml:space="preserve">BDG0 </v>
      </c>
      <c r="H210" s="8"/>
      <c r="I210" s="8" t="str">
        <f>IF([1]All!$D211=0,"",[1]All!$D211)</f>
        <v>D</v>
      </c>
      <c r="J210" s="8" t="str">
        <f>IF([1]All!$E211=0,"",[1]All!$E211)</f>
        <v>39428</v>
      </c>
      <c r="K210" s="8" t="s">
        <v>163</v>
      </c>
      <c r="L210" s="11" t="str">
        <f>IF([1]All!$L211=0,"",[1]All!$L211)</f>
        <v>WASHER,FLAT</v>
      </c>
      <c r="M210" s="7" t="str">
        <f>IF([1]All!$AJ211=0,"",[1]All!$AJ211)</f>
        <v xml:space="preserve">BCTG </v>
      </c>
      <c r="N210" s="7" t="str">
        <f>IF([1]All!$R211=0,"",[1]All!$R211)</f>
        <v>5310</v>
      </c>
      <c r="O210" s="7" t="str">
        <f>IF([1]All!$S211=0,"",[1]All!$S211)</f>
        <v>015915664</v>
      </c>
      <c r="P210" s="7" t="str">
        <f>IF([1]All!$V211=0,"",[1]All!$V211)</f>
        <v>0000000040</v>
      </c>
      <c r="Q210" s="3" t="str">
        <f t="shared" si="23"/>
        <v>$0.40</v>
      </c>
      <c r="R210" s="8" t="str">
        <f>IF([1]All!$F211=0,"",[1]All!$F211)</f>
        <v>90126A038</v>
      </c>
    </row>
    <row r="211" spans="1:18">
      <c r="A211" s="7"/>
      <c r="B211" s="3">
        <f t="shared" si="18"/>
        <v>68</v>
      </c>
      <c r="C211" s="3" t="str">
        <f t="shared" si="19"/>
        <v>D</v>
      </c>
      <c r="D211" s="9" t="str">
        <f t="shared" si="20"/>
        <v>MIL-001-331</v>
      </c>
      <c r="E211" s="3" t="str">
        <f t="shared" si="21"/>
        <v>BDNW  MIL-001-331</v>
      </c>
      <c r="F211" s="10" t="str">
        <f t="shared" si="22"/>
        <v>PCCN: CRGARM:-:PLISN: BDNW :-:PCC: TIT :-: CAGE: 0UJB5:-:PART NUMBER: MIL-001-331:-:NOMENCLATURE: WASHER,FLAT:-:PRICE: $1.21:-:UNIQUE MODS: NO:-:PROPRIETARILY MFG FOR OEM: NO:-: :-: :-: :-:NSN: 5310015738807 :-: NHA: MIL-001-047</v>
      </c>
      <c r="G211" s="8" t="str">
        <f>IF([1]All!$B212="","",[1]All!$B212)</f>
        <v xml:space="preserve">BDNW </v>
      </c>
      <c r="H211" s="8"/>
      <c r="I211" s="8" t="str">
        <f>IF([1]All!$D212=0,"",[1]All!$D212)</f>
        <v>D</v>
      </c>
      <c r="J211" s="8" t="str">
        <f>IF([1]All!$E212=0,"",[1]All!$E212)</f>
        <v>0UJB5</v>
      </c>
      <c r="K211" s="8" t="s">
        <v>164</v>
      </c>
      <c r="L211" s="11" t="str">
        <f>IF([1]All!$L212=0,"",[1]All!$L212)</f>
        <v>WASHER,FLAT</v>
      </c>
      <c r="M211" s="7" t="str">
        <f>IF([1]All!$AJ212=0,"",[1]All!$AJ212)</f>
        <v xml:space="preserve">BCTG </v>
      </c>
      <c r="N211" s="7" t="str">
        <f>IF([1]All!$R212=0,"",[1]All!$R212)</f>
        <v>5310</v>
      </c>
      <c r="O211" s="7" t="str">
        <f>IF([1]All!$S212=0,"",[1]All!$S212)</f>
        <v>015738807</v>
      </c>
      <c r="P211" s="7" t="str">
        <f>IF([1]All!$V212=0,"",[1]All!$V212)</f>
        <v>0000000121</v>
      </c>
      <c r="Q211" s="3" t="str">
        <f t="shared" si="23"/>
        <v>$1.21</v>
      </c>
      <c r="R211" s="8" t="str">
        <f>IF([1]All!$F212=0,"",[1]All!$F212)</f>
        <v>MIL-001-331</v>
      </c>
    </row>
    <row r="212" spans="1:18">
      <c r="A212" s="7"/>
      <c r="B212" s="3">
        <f t="shared" si="18"/>
        <v>68</v>
      </c>
      <c r="C212" s="3" t="str">
        <f t="shared" si="19"/>
        <v>D</v>
      </c>
      <c r="D212" s="9" t="str">
        <f t="shared" si="20"/>
        <v>37579</v>
      </c>
      <c r="E212" s="3" t="str">
        <f t="shared" si="21"/>
        <v>BDUS  37579</v>
      </c>
      <c r="F212" s="10" t="str">
        <f t="shared" si="22"/>
        <v>PCCN: CRGARM:-:PLISN: BDUS :-:PCC: TIT :-: CAGE: 0Y3H3:-:PART NUMBER: 37579:-:NOMENCLATURE: NUT,SELF-LOCKING,HE:-:PRICE: $1.31:-:UNIQUE MODS: NO:-:PROPRIETARILY MFG FOR OEM: NO:-: :-: :-: :-:NSN: 5310016005344 :-: NHA: MIL-001-047</v>
      </c>
      <c r="G212" s="8" t="str">
        <f>IF([1]All!$B213="","",[1]All!$B213)</f>
        <v xml:space="preserve">BDUS </v>
      </c>
      <c r="H212" s="8"/>
      <c r="I212" s="8" t="str">
        <f>IF([1]All!$D213=0,"",[1]All!$D213)</f>
        <v>D</v>
      </c>
      <c r="J212" s="8" t="str">
        <f>IF([1]All!$E213=0,"",[1]All!$E213)</f>
        <v>0Y3H3</v>
      </c>
      <c r="K212" s="8" t="s">
        <v>165</v>
      </c>
      <c r="L212" s="11" t="str">
        <f>IF([1]All!$L213=0,"",[1]All!$L213)</f>
        <v>NUT,SELF-LOCKING,HE</v>
      </c>
      <c r="M212" s="7" t="str">
        <f>IF([1]All!$AJ213=0,"",[1]All!$AJ213)</f>
        <v xml:space="preserve">BCTG </v>
      </c>
      <c r="N212" s="7" t="str">
        <f>IF([1]All!$R213=0,"",[1]All!$R213)</f>
        <v>5310</v>
      </c>
      <c r="O212" s="7" t="str">
        <f>IF([1]All!$S213=0,"",[1]All!$S213)</f>
        <v>016005344</v>
      </c>
      <c r="P212" s="7" t="str">
        <f>IF([1]All!$V213=0,"",[1]All!$V213)</f>
        <v>0000000131</v>
      </c>
      <c r="Q212" s="3" t="str">
        <f t="shared" si="23"/>
        <v>$1.31</v>
      </c>
      <c r="R212" s="8" t="str">
        <f>IF([1]All!$F213=0,"",[1]All!$F213)</f>
        <v>37579</v>
      </c>
    </row>
    <row r="213" spans="1:18">
      <c r="A213" s="7"/>
      <c r="B213" s="3">
        <f t="shared" si="18"/>
        <v>68</v>
      </c>
      <c r="C213" s="3" t="str">
        <f t="shared" si="19"/>
        <v>D</v>
      </c>
      <c r="D213" s="9" t="str">
        <f t="shared" si="20"/>
        <v>MIL-001-078</v>
      </c>
      <c r="E213" s="3" t="str">
        <f t="shared" si="21"/>
        <v>BD0N  MIL-001-078</v>
      </c>
      <c r="F213" s="10" t="str">
        <f t="shared" si="22"/>
        <v>PCCN: CRGARM:-:PLISN: BD0N :-:PCC: TIT :-: CAGE: 0UJB5:-:PART NUMBER: MIL-001-078:-:NOMENCLATURE: CYLINDER ASSEMBLY,A:-:PRICE: $841.60:-:UNIQUE MODS: NO:-:PROPRIETARILY MFG FOR OEM: NO:-: :-: :-: :-:NSN: 3040015645678 :-: NHA: MIL-001-047</v>
      </c>
      <c r="G213" s="8" t="str">
        <f>IF([1]All!$B214="","",[1]All!$B214)</f>
        <v xml:space="preserve">BD0N </v>
      </c>
      <c r="H213" s="8"/>
      <c r="I213" s="8" t="str">
        <f>IF([1]All!$D214=0,"",[1]All!$D214)</f>
        <v>D</v>
      </c>
      <c r="J213" s="8" t="str">
        <f>IF([1]All!$E214=0,"",[1]All!$E214)</f>
        <v>0UJB5</v>
      </c>
      <c r="K213" s="8" t="s">
        <v>166</v>
      </c>
      <c r="L213" s="11" t="str">
        <f>IF([1]All!$L214=0,"",[1]All!$L214)</f>
        <v>CYLINDER ASSEMBLY,A</v>
      </c>
      <c r="M213" s="7" t="str">
        <f>IF([1]All!$AJ214=0,"",[1]All!$AJ214)</f>
        <v xml:space="preserve">BCTG </v>
      </c>
      <c r="N213" s="7" t="str">
        <f>IF([1]All!$R214=0,"",[1]All!$R214)</f>
        <v>3040</v>
      </c>
      <c r="O213" s="7" t="str">
        <f>IF([1]All!$S214=0,"",[1]All!$S214)</f>
        <v>015645678</v>
      </c>
      <c r="P213" s="7" t="str">
        <f>IF([1]All!$V214=0,"",[1]All!$V214)</f>
        <v>0000084160</v>
      </c>
      <c r="Q213" s="3" t="str">
        <f t="shared" si="23"/>
        <v>$841.60</v>
      </c>
      <c r="R213" s="8" t="str">
        <f>IF([1]All!$F214=0,"",[1]All!$F214)</f>
        <v>MIL-001-078</v>
      </c>
    </row>
    <row r="214" spans="1:18">
      <c r="A214" s="7"/>
      <c r="B214" s="3">
        <f t="shared" si="18"/>
        <v>69</v>
      </c>
      <c r="C214" s="3" t="str">
        <f t="shared" si="19"/>
        <v>E</v>
      </c>
      <c r="D214" s="9" t="str">
        <f t="shared" si="20"/>
        <v>MIL-001-203</v>
      </c>
      <c r="E214" s="3" t="str">
        <f t="shared" si="21"/>
        <v>BD6J  MIL-001-203</v>
      </c>
      <c r="F214" s="10" t="str">
        <f t="shared" si="22"/>
        <v>PCCN: CRGARM:-:PLISN: BD6J :-:PCC: TIT :-: CAGE: 0UJB5:-:PART NUMBER: MIL-001-203:-:NOMENCLATURE: CYLINDER ASSEMBLY,A:-:PRICE: $720.00:-:UNIQUE MODS: NO:-:PROPRIETARILY MFG FOR OEM: NO:-: :-: :-: :-: :-: NHA: MIL-001-078 :-: NHA NSN: 3040015645678</v>
      </c>
      <c r="G214" s="8" t="str">
        <f>IF([1]All!$B215="","",[1]All!$B215)</f>
        <v xml:space="preserve">BD6J </v>
      </c>
      <c r="H214" s="8"/>
      <c r="I214" s="8" t="str">
        <f>IF([1]All!$D215=0,"",[1]All!$D215)</f>
        <v>E</v>
      </c>
      <c r="J214" s="8" t="str">
        <f>IF([1]All!$E215=0,"",[1]All!$E215)</f>
        <v>0UJB5</v>
      </c>
      <c r="K214" s="8" t="s">
        <v>167</v>
      </c>
      <c r="L214" s="11" t="str">
        <f>IF([1]All!$L215=0,"",[1]All!$L215)</f>
        <v>CYLINDER ASSEMBLY,A</v>
      </c>
      <c r="M214" s="7" t="str">
        <f>IF([1]All!$AJ215=0,"",[1]All!$AJ215)</f>
        <v xml:space="preserve">BD0N </v>
      </c>
      <c r="N214" s="7" t="str">
        <f>IF([1]All!$R215=0,"",[1]All!$R215)</f>
        <v/>
      </c>
      <c r="O214" s="7" t="str">
        <f>IF([1]All!$S215=0,"",[1]All!$S215)</f>
        <v/>
      </c>
      <c r="P214" s="7" t="str">
        <f>IF([1]All!$V215=0,"",[1]All!$V215)</f>
        <v>0000072000</v>
      </c>
      <c r="Q214" s="3" t="str">
        <f t="shared" si="23"/>
        <v>$720.00</v>
      </c>
      <c r="R214" s="8" t="str">
        <f>IF([1]All!$F215=0,"",[1]All!$F215)</f>
        <v>MIL-001-203</v>
      </c>
    </row>
    <row r="215" spans="1:18">
      <c r="A215" s="7"/>
      <c r="B215" s="3">
        <f t="shared" si="18"/>
        <v>70</v>
      </c>
      <c r="C215" s="3" t="str">
        <f t="shared" si="19"/>
        <v>F</v>
      </c>
      <c r="D215" s="9" t="str">
        <f t="shared" si="20"/>
        <v>MIL-001-1561</v>
      </c>
      <c r="E215" s="3" t="str">
        <f t="shared" si="21"/>
        <v>BECE  MIL-001-1561</v>
      </c>
      <c r="F215" s="10" t="str">
        <f t="shared" si="22"/>
        <v>PCCN: CRGARM:-:PLISN: BECE :-:PCC: TIT :-: CAGE: 0UJB5:-:PART NUMBER: MIL-001-1561:-:NOMENCLATURE: BODY,CYLINDER:-:PRICE: $2037.17:-:UNIQUE MODS: NO:-:PROPRIETARILY MFG FOR OEM: NO:-: :-: :-: :-: :-: NHA: MIL-001-203</v>
      </c>
      <c r="G215" s="8" t="str">
        <f>IF([1]All!$B216="","",[1]All!$B216)</f>
        <v xml:space="preserve">BECE </v>
      </c>
      <c r="H215" s="8"/>
      <c r="I215" s="8" t="str">
        <f>IF([1]All!$D216=0,"",[1]All!$D216)</f>
        <v>F</v>
      </c>
      <c r="J215" s="8" t="str">
        <f>IF([1]All!$E216=0,"",[1]All!$E216)</f>
        <v>0UJB5</v>
      </c>
      <c r="K215" s="8" t="s">
        <v>168</v>
      </c>
      <c r="L215" s="11" t="str">
        <f>IF([1]All!$L216=0,"",[1]All!$L216)</f>
        <v>BODY,CYLINDER</v>
      </c>
      <c r="M215" s="7" t="str">
        <f>IF([1]All!$AJ216=0,"",[1]All!$AJ216)</f>
        <v xml:space="preserve">BD6J </v>
      </c>
      <c r="N215" s="7" t="str">
        <f>IF([1]All!$R216=0,"",[1]All!$R216)</f>
        <v/>
      </c>
      <c r="O215" s="7" t="str">
        <f>IF([1]All!$S216=0,"",[1]All!$S216)</f>
        <v/>
      </c>
      <c r="P215" s="7" t="str">
        <f>IF([1]All!$V216=0,"",[1]All!$V216)</f>
        <v>0000203717</v>
      </c>
      <c r="Q215" s="3" t="str">
        <f t="shared" si="23"/>
        <v>$2037.17</v>
      </c>
      <c r="R215" s="8" t="str">
        <f>IF([1]All!$F216=0,"",[1]All!$F216)</f>
        <v>MIL-001-1561</v>
      </c>
    </row>
    <row r="216" spans="1:18">
      <c r="A216" s="7"/>
      <c r="B216" s="3">
        <f t="shared" si="18"/>
        <v>70</v>
      </c>
      <c r="C216" s="3" t="str">
        <f t="shared" si="19"/>
        <v>F</v>
      </c>
      <c r="D216" s="9" t="str">
        <f t="shared" si="20"/>
        <v>MIL-001-1562</v>
      </c>
      <c r="E216" s="3" t="str">
        <f t="shared" si="21"/>
        <v>BEJA  MIL-001-1562</v>
      </c>
      <c r="F216" s="10" t="str">
        <f t="shared" si="22"/>
        <v>PCCN: CRGARM:-:PLISN: BEJA :-:PCC: TIT :-: CAGE: 0UJB5:-:PART NUMBER: MIL-001-1562:-:NOMENCLATURE: ROD:-:PRICE: $99.58:-:UNIQUE MODS: NO:-:PROPRIETARILY MFG FOR OEM: NO:-: :-: :-: :-: :-: NHA: MIL-001-203</v>
      </c>
      <c r="G216" s="8" t="str">
        <f>IF([1]All!$B217="","",[1]All!$B217)</f>
        <v xml:space="preserve">BEJA </v>
      </c>
      <c r="H216" s="8"/>
      <c r="I216" s="8" t="str">
        <f>IF([1]All!$D217=0,"",[1]All!$D217)</f>
        <v>F</v>
      </c>
      <c r="J216" s="8" t="str">
        <f>IF([1]All!$E217=0,"",[1]All!$E217)</f>
        <v>0UJB5</v>
      </c>
      <c r="K216" s="8" t="s">
        <v>169</v>
      </c>
      <c r="L216" s="11" t="str">
        <f>IF([1]All!$L217=0,"",[1]All!$L217)</f>
        <v>ROD</v>
      </c>
      <c r="M216" s="7" t="str">
        <f>IF([1]All!$AJ217=0,"",[1]All!$AJ217)</f>
        <v xml:space="preserve">BD6J </v>
      </c>
      <c r="N216" s="7" t="str">
        <f>IF([1]All!$R217=0,"",[1]All!$R217)</f>
        <v/>
      </c>
      <c r="O216" s="7" t="str">
        <f>IF([1]All!$S217=0,"",[1]All!$S217)</f>
        <v/>
      </c>
      <c r="P216" s="7" t="str">
        <f>IF([1]All!$V217=0,"",[1]All!$V217)</f>
        <v>0000009958</v>
      </c>
      <c r="Q216" s="3" t="str">
        <f t="shared" si="23"/>
        <v>$99.58</v>
      </c>
      <c r="R216" s="8" t="str">
        <f>IF([1]All!$F217=0,"",[1]All!$F217)</f>
        <v>MIL-001-1562</v>
      </c>
    </row>
    <row r="217" spans="1:18">
      <c r="A217" s="7"/>
      <c r="B217" s="3">
        <f t="shared" si="18"/>
        <v>70</v>
      </c>
      <c r="C217" s="3" t="str">
        <f t="shared" si="19"/>
        <v>F</v>
      </c>
      <c r="D217" s="9" t="str">
        <f t="shared" si="20"/>
        <v>MIL-001-1551</v>
      </c>
      <c r="E217" s="3" t="str">
        <f t="shared" si="21"/>
        <v>BEP6  MIL-001-1551</v>
      </c>
      <c r="F217" s="10" t="str">
        <f t="shared" si="22"/>
        <v>PCCN: CRGARM:-:PLISN: BEP6 :-:PCC: TIT :-: CAGE: 0UJB5:-:PART NUMBER: MIL-001-1551:-:NOMENCLATURE: NUT RING:-:PRICE: $7.25:-:UNIQUE MODS: NO:-:PROPRIETARILY MFG FOR OEM: NO:-: :-: :-: :-: :-: NHA: MIL-001-203</v>
      </c>
      <c r="G217" s="8" t="str">
        <f>IF([1]All!$B218="","",[1]All!$B218)</f>
        <v xml:space="preserve">BEP6 </v>
      </c>
      <c r="H217" s="8"/>
      <c r="I217" s="8" t="str">
        <f>IF([1]All!$D218=0,"",[1]All!$D218)</f>
        <v>F</v>
      </c>
      <c r="J217" s="8" t="str">
        <f>IF([1]All!$E218=0,"",[1]All!$E218)</f>
        <v>0UJB5</v>
      </c>
      <c r="K217" s="8" t="s">
        <v>170</v>
      </c>
      <c r="L217" s="11" t="str">
        <f>IF([1]All!$L218=0,"",[1]All!$L218)</f>
        <v>NUT RING</v>
      </c>
      <c r="M217" s="7" t="str">
        <f>IF([1]All!$AJ218=0,"",[1]All!$AJ218)</f>
        <v xml:space="preserve">BD6J </v>
      </c>
      <c r="N217" s="7" t="str">
        <f>IF([1]All!$R218=0,"",[1]All!$R218)</f>
        <v/>
      </c>
      <c r="O217" s="7" t="str">
        <f>IF([1]All!$S218=0,"",[1]All!$S218)</f>
        <v/>
      </c>
      <c r="P217" s="7" t="str">
        <f>IF([1]All!$V218=0,"",[1]All!$V218)</f>
        <v>0000000725</v>
      </c>
      <c r="Q217" s="3" t="str">
        <f t="shared" si="23"/>
        <v>$7.25</v>
      </c>
      <c r="R217" s="8" t="str">
        <f>IF([1]All!$F218=0,"",[1]All!$F218)</f>
        <v>MIL-001-1551</v>
      </c>
    </row>
    <row r="218" spans="1:18">
      <c r="A218" s="7"/>
      <c r="B218" s="3">
        <f t="shared" si="18"/>
        <v>70</v>
      </c>
      <c r="C218" s="3" t="str">
        <f t="shared" si="19"/>
        <v>F</v>
      </c>
      <c r="D218" s="9" t="str">
        <f t="shared" si="20"/>
        <v>MIL-001-1552</v>
      </c>
      <c r="E218" s="3" t="str">
        <f t="shared" si="21"/>
        <v>BEV2  MIL-001-1552</v>
      </c>
      <c r="F218" s="10" t="str">
        <f t="shared" si="22"/>
        <v>PCCN: CRGARM:-:PLISN: BEV2 :-:PCC: TIT :-: CAGE: 0UJB5:-:PART NUMBER: MIL-001-1552:-:NOMENCLATURE: PISTON:-:PRICE: $138.00:-:UNIQUE MODS: NO:-:PROPRIETARILY MFG FOR OEM: NO:-: :-: :-: :-: :-: NHA: MIL-001-203</v>
      </c>
      <c r="G218" s="8" t="str">
        <f>IF([1]All!$B219="","",[1]All!$B219)</f>
        <v xml:space="preserve">BEV2 </v>
      </c>
      <c r="H218" s="8"/>
      <c r="I218" s="8" t="str">
        <f>IF([1]All!$D219=0,"",[1]All!$D219)</f>
        <v>F</v>
      </c>
      <c r="J218" s="8" t="str">
        <f>IF([1]All!$E219=0,"",[1]All!$E219)</f>
        <v>0UJB5</v>
      </c>
      <c r="K218" s="8" t="s">
        <v>171</v>
      </c>
      <c r="L218" s="11" t="str">
        <f>IF([1]All!$L219=0,"",[1]All!$L219)</f>
        <v>PISTON</v>
      </c>
      <c r="M218" s="7" t="str">
        <f>IF([1]All!$AJ219=0,"",[1]All!$AJ219)</f>
        <v xml:space="preserve">BD6J </v>
      </c>
      <c r="N218" s="7" t="str">
        <f>IF([1]All!$R219=0,"",[1]All!$R219)</f>
        <v/>
      </c>
      <c r="O218" s="7" t="str">
        <f>IF([1]All!$S219=0,"",[1]All!$S219)</f>
        <v/>
      </c>
      <c r="P218" s="7" t="str">
        <f>IF([1]All!$V219=0,"",[1]All!$V219)</f>
        <v>0000013800</v>
      </c>
      <c r="Q218" s="3" t="str">
        <f t="shared" si="23"/>
        <v>$138.00</v>
      </c>
      <c r="R218" s="8" t="str">
        <f>IF([1]All!$F219=0,"",[1]All!$F219)</f>
        <v>MIL-001-1552</v>
      </c>
    </row>
    <row r="219" spans="1:18">
      <c r="A219" s="7"/>
      <c r="B219" s="3">
        <f t="shared" si="18"/>
        <v>70</v>
      </c>
      <c r="C219" s="3" t="str">
        <f t="shared" si="19"/>
        <v>F</v>
      </c>
      <c r="D219" s="9" t="str">
        <f t="shared" si="20"/>
        <v>DBM 216153</v>
      </c>
      <c r="E219" s="3" t="str">
        <f t="shared" si="21"/>
        <v>BE1Y  DBM 216153</v>
      </c>
      <c r="F219" s="10" t="str">
        <f t="shared" si="22"/>
        <v>PCCN: CRGARM:-:PLISN: BE1Y :-:PCC: TIT :-: CAGE: 0U5J4:-:PART NUMBER: DBM 216153:-:NOMENCLATURE: SEAL:-:PRICE: $12.75:-:UNIQUE MODS: NO:-:PROPRIETARILY MFG FOR OEM: NO:-: :-: :-: :-: :-: NHA: MIL-001-203</v>
      </c>
      <c r="G219" s="8" t="str">
        <f>IF([1]All!$B220="","",[1]All!$B220)</f>
        <v xml:space="preserve">BE1Y </v>
      </c>
      <c r="H219" s="8"/>
      <c r="I219" s="8" t="str">
        <f>IF([1]All!$D220=0,"",[1]All!$D220)</f>
        <v>F</v>
      </c>
      <c r="J219" s="8" t="str">
        <f>IF([1]All!$E220=0,"",[1]All!$E220)</f>
        <v>0U5J4</v>
      </c>
      <c r="K219" s="8" t="s">
        <v>441</v>
      </c>
      <c r="L219" s="11" t="str">
        <f>IF([1]All!$L220=0,"",[1]All!$L220)</f>
        <v>SEAL</v>
      </c>
      <c r="M219" s="7" t="str">
        <f>IF([1]All!$AJ220=0,"",[1]All!$AJ220)</f>
        <v xml:space="preserve">BD6J </v>
      </c>
      <c r="N219" s="7" t="str">
        <f>IF([1]All!$R220=0,"",[1]All!$R220)</f>
        <v/>
      </c>
      <c r="O219" s="7" t="str">
        <f>IF([1]All!$S220=0,"",[1]All!$S220)</f>
        <v/>
      </c>
      <c r="P219" s="7" t="str">
        <f>IF([1]All!$V220=0,"",[1]All!$V220)</f>
        <v>0000001275</v>
      </c>
      <c r="Q219" s="3" t="str">
        <f t="shared" si="23"/>
        <v>$12.75</v>
      </c>
      <c r="R219" s="8" t="str">
        <f>IF([1]All!$F220=0,"",[1]All!$F220)</f>
        <v>DBM 216153</v>
      </c>
    </row>
    <row r="220" spans="1:18">
      <c r="A220" s="7"/>
      <c r="B220" s="3">
        <f t="shared" si="18"/>
        <v>70</v>
      </c>
      <c r="C220" s="3" t="str">
        <f t="shared" si="19"/>
        <v>F</v>
      </c>
      <c r="D220" s="9" t="str">
        <f t="shared" si="20"/>
        <v>MIL-001-1554</v>
      </c>
      <c r="E220" s="3" t="str">
        <f t="shared" si="21"/>
        <v>BE7U  MIL-001-1554</v>
      </c>
      <c r="F220" s="10" t="str">
        <f t="shared" si="22"/>
        <v>PCCN: CRGARM:-:PLISN: BE7U :-:PCC: TIT :-: CAGE: 0UJB5:-:PART NUMBER: MIL-001-1554:-:NOMENCLATURE: O-RING:-:PRICE: $0.39:-:UNIQUE MODS: NO:-:PROPRIETARILY MFG FOR OEM: NO:-: :-: :-: :-: :-: NHA: MIL-001-203</v>
      </c>
      <c r="G220" s="8" t="str">
        <f>IF([1]All!$B221="","",[1]All!$B221)</f>
        <v xml:space="preserve">BE7U </v>
      </c>
      <c r="H220" s="8"/>
      <c r="I220" s="8" t="str">
        <f>IF([1]All!$D221=0,"",[1]All!$D221)</f>
        <v>F</v>
      </c>
      <c r="J220" s="8" t="str">
        <f>IF([1]All!$E221=0,"",[1]All!$E221)</f>
        <v>0UJB5</v>
      </c>
      <c r="K220" s="8" t="s">
        <v>172</v>
      </c>
      <c r="L220" s="11" t="str">
        <f>IF([1]All!$L221=0,"",[1]All!$L221)</f>
        <v>O-RING</v>
      </c>
      <c r="M220" s="7" t="str">
        <f>IF([1]All!$AJ221=0,"",[1]All!$AJ221)</f>
        <v xml:space="preserve">BD6J </v>
      </c>
      <c r="N220" s="7" t="str">
        <f>IF([1]All!$R221=0,"",[1]All!$R221)</f>
        <v/>
      </c>
      <c r="O220" s="7" t="str">
        <f>IF([1]All!$S221=0,"",[1]All!$S221)</f>
        <v/>
      </c>
      <c r="P220" s="7" t="str">
        <f>IF([1]All!$V221=0,"",[1]All!$V221)</f>
        <v>0000000039</v>
      </c>
      <c r="Q220" s="3" t="str">
        <f t="shared" si="23"/>
        <v>$0.39</v>
      </c>
      <c r="R220" s="8" t="str">
        <f>IF([1]All!$F221=0,"",[1]All!$F221)</f>
        <v>MIL-001-1554</v>
      </c>
    </row>
    <row r="221" spans="1:18">
      <c r="A221" s="7"/>
      <c r="B221" s="3">
        <f t="shared" si="18"/>
        <v>70</v>
      </c>
      <c r="C221" s="3" t="str">
        <f t="shared" si="19"/>
        <v>F</v>
      </c>
      <c r="D221" s="9" t="str">
        <f t="shared" si="20"/>
        <v>MIL-001-1555</v>
      </c>
      <c r="E221" s="3" t="str">
        <f t="shared" si="21"/>
        <v>BFDQ  MIL-001-1555</v>
      </c>
      <c r="F221" s="10" t="str">
        <f t="shared" si="22"/>
        <v>PCCN: CRGARM:-:PLISN: BFDQ :-:PCC: TIT :-: CAGE: 0UJB5:-:PART NUMBER: MIL-001-1555:-:NOMENCLATURE: O-RING:-:PRICE: $0.39:-:UNIQUE MODS: NO:-:PROPRIETARILY MFG FOR OEM: NO:-: :-: :-: :-: :-: NHA: MIL-001-203</v>
      </c>
      <c r="G221" s="8" t="str">
        <f>IF([1]All!$B222="","",[1]All!$B222)</f>
        <v xml:space="preserve">BFDQ </v>
      </c>
      <c r="H221" s="8"/>
      <c r="I221" s="8" t="str">
        <f>IF([1]All!$D222=0,"",[1]All!$D222)</f>
        <v>F</v>
      </c>
      <c r="J221" s="8" t="str">
        <f>IF([1]All!$E222=0,"",[1]All!$E222)</f>
        <v>0UJB5</v>
      </c>
      <c r="K221" s="8" t="s">
        <v>173</v>
      </c>
      <c r="L221" s="11" t="str">
        <f>IF([1]All!$L222=0,"",[1]All!$L222)</f>
        <v>O-RING</v>
      </c>
      <c r="M221" s="7" t="str">
        <f>IF([1]All!$AJ222=0,"",[1]All!$AJ222)</f>
        <v xml:space="preserve">BD6J </v>
      </c>
      <c r="N221" s="7" t="str">
        <f>IF([1]All!$R222=0,"",[1]All!$R222)</f>
        <v/>
      </c>
      <c r="O221" s="7" t="str">
        <f>IF([1]All!$S222=0,"",[1]All!$S222)</f>
        <v/>
      </c>
      <c r="P221" s="7" t="str">
        <f>IF([1]All!$V222=0,"",[1]All!$V222)</f>
        <v>0000000039</v>
      </c>
      <c r="Q221" s="3" t="str">
        <f t="shared" si="23"/>
        <v>$0.39</v>
      </c>
      <c r="R221" s="8" t="str">
        <f>IF([1]All!$F222=0,"",[1]All!$F222)</f>
        <v>MIL-001-1555</v>
      </c>
    </row>
    <row r="222" spans="1:18">
      <c r="A222" s="7"/>
      <c r="B222" s="3">
        <f t="shared" si="18"/>
        <v>70</v>
      </c>
      <c r="C222" s="3" t="str">
        <f t="shared" si="19"/>
        <v>F</v>
      </c>
      <c r="D222" s="9" t="str">
        <f t="shared" si="20"/>
        <v>MIL-001-1556</v>
      </c>
      <c r="E222" s="3" t="str">
        <f t="shared" si="21"/>
        <v>BFKL  MIL-001-1556</v>
      </c>
      <c r="F222" s="10" t="str">
        <f t="shared" si="22"/>
        <v>PCCN: CRGARM:-:PLISN: BFKL :-:PCC: TIT :-: CAGE: 0UJB5:-:PART NUMBER: MIL-001-1556:-:NOMENCLATURE: RING, SPLIT:-:PRICE: $6.09:-:UNIQUE MODS: NO:-:PROPRIETARILY MFG FOR OEM: NO:-: :-: :-: :-: :-: NHA: MIL-001-203</v>
      </c>
      <c r="G222" s="8" t="str">
        <f>IF([1]All!$B223="","",[1]All!$B223)</f>
        <v xml:space="preserve">BFKL </v>
      </c>
      <c r="H222" s="8"/>
      <c r="I222" s="8" t="str">
        <f>IF([1]All!$D223=0,"",[1]All!$D223)</f>
        <v>F</v>
      </c>
      <c r="J222" s="8" t="str">
        <f>IF([1]All!$E223=0,"",[1]All!$E223)</f>
        <v>0UJB5</v>
      </c>
      <c r="K222" s="8" t="s">
        <v>174</v>
      </c>
      <c r="L222" s="11" t="str">
        <f>IF([1]All!$L223=0,"",[1]All!$L223)</f>
        <v>RING, SPLIT</v>
      </c>
      <c r="M222" s="7" t="str">
        <f>IF([1]All!$AJ223=0,"",[1]All!$AJ223)</f>
        <v xml:space="preserve">BD6J </v>
      </c>
      <c r="N222" s="7" t="str">
        <f>IF([1]All!$R223=0,"",[1]All!$R223)</f>
        <v/>
      </c>
      <c r="O222" s="7" t="str">
        <f>IF([1]All!$S223=0,"",[1]All!$S223)</f>
        <v/>
      </c>
      <c r="P222" s="7" t="str">
        <f>IF([1]All!$V223=0,"",[1]All!$V223)</f>
        <v>0000000609</v>
      </c>
      <c r="Q222" s="3" t="str">
        <f t="shared" si="23"/>
        <v>$6.09</v>
      </c>
      <c r="R222" s="8" t="str">
        <f>IF([1]All!$F223=0,"",[1]All!$F223)</f>
        <v>MIL-001-1556</v>
      </c>
    </row>
    <row r="223" spans="1:18">
      <c r="A223" s="7"/>
      <c r="B223" s="3">
        <f t="shared" si="18"/>
        <v>70</v>
      </c>
      <c r="C223" s="3" t="str">
        <f t="shared" si="19"/>
        <v>F</v>
      </c>
      <c r="D223" s="9" t="str">
        <f t="shared" si="20"/>
        <v>MIL-001-1557</v>
      </c>
      <c r="E223" s="3" t="str">
        <f t="shared" si="21"/>
        <v>BFRG  MIL-001-1557</v>
      </c>
      <c r="F223" s="10" t="str">
        <f t="shared" si="22"/>
        <v>PCCN: CRGARM:-:PLISN: BFRG :-:PCC: TIT :-: CAGE: 0UJB5:-:PART NUMBER: MIL-001-1557:-:NOMENCLATURE: O-RING:-:PRICE: $0.39:-:UNIQUE MODS: NO:-:PROPRIETARILY MFG FOR OEM: NO:-: :-: :-: :-: :-: NHA: MIL-001-203</v>
      </c>
      <c r="G223" s="8" t="str">
        <f>IF([1]All!$B224="","",[1]All!$B224)</f>
        <v xml:space="preserve">BFRG </v>
      </c>
      <c r="H223" s="8"/>
      <c r="I223" s="8" t="str">
        <f>IF([1]All!$D224=0,"",[1]All!$D224)</f>
        <v>F</v>
      </c>
      <c r="J223" s="8" t="str">
        <f>IF([1]All!$E224=0,"",[1]All!$E224)</f>
        <v>0UJB5</v>
      </c>
      <c r="K223" s="8" t="s">
        <v>175</v>
      </c>
      <c r="L223" s="11" t="str">
        <f>IF([1]All!$L224=0,"",[1]All!$L224)</f>
        <v>O-RING</v>
      </c>
      <c r="M223" s="7" t="str">
        <f>IF([1]All!$AJ224=0,"",[1]All!$AJ224)</f>
        <v xml:space="preserve">BD6J </v>
      </c>
      <c r="N223" s="7" t="str">
        <f>IF([1]All!$R224=0,"",[1]All!$R224)</f>
        <v/>
      </c>
      <c r="O223" s="7" t="str">
        <f>IF([1]All!$S224=0,"",[1]All!$S224)</f>
        <v/>
      </c>
      <c r="P223" s="7" t="str">
        <f>IF([1]All!$V224=0,"",[1]All!$V224)</f>
        <v>0000000039</v>
      </c>
      <c r="Q223" s="3" t="str">
        <f t="shared" si="23"/>
        <v>$0.39</v>
      </c>
      <c r="R223" s="8" t="str">
        <f>IF([1]All!$F224=0,"",[1]All!$F224)</f>
        <v>MIL-001-1557</v>
      </c>
    </row>
    <row r="224" spans="1:18">
      <c r="A224" s="7"/>
      <c r="B224" s="3">
        <f t="shared" si="18"/>
        <v>70</v>
      </c>
      <c r="C224" s="3" t="str">
        <f t="shared" si="19"/>
        <v>F</v>
      </c>
      <c r="D224" s="9" t="str">
        <f t="shared" si="20"/>
        <v>MIL-001-1558</v>
      </c>
      <c r="E224" s="3" t="str">
        <f t="shared" si="21"/>
        <v>BFXC  MIL-001-1558</v>
      </c>
      <c r="F224" s="10" t="str">
        <f t="shared" si="22"/>
        <v>PCCN: CRGARM:-:PLISN: BFXC :-:PCC: TIT :-: CAGE: 0UJB5:-:PART NUMBER: MIL-001-1558:-:NOMENCLATURE: SEAL:-:PRICE: $12.75:-:UNIQUE MODS: NO:-:PROPRIETARILY MFG FOR OEM: NO:-: :-: :-: :-: :-: NHA: MIL-001-203</v>
      </c>
      <c r="G224" s="8" t="str">
        <f>IF([1]All!$B225="","",[1]All!$B225)</f>
        <v xml:space="preserve">BFXC </v>
      </c>
      <c r="H224" s="8"/>
      <c r="I224" s="8" t="str">
        <f>IF([1]All!$D225=0,"",[1]All!$D225)</f>
        <v>F</v>
      </c>
      <c r="J224" s="8" t="str">
        <f>IF([1]All!$E225=0,"",[1]All!$E225)</f>
        <v>0UJB5</v>
      </c>
      <c r="K224" s="8" t="s">
        <v>176</v>
      </c>
      <c r="L224" s="11" t="str">
        <f>IF([1]All!$L225=0,"",[1]All!$L225)</f>
        <v>SEAL</v>
      </c>
      <c r="M224" s="7" t="str">
        <f>IF([1]All!$AJ225=0,"",[1]All!$AJ225)</f>
        <v xml:space="preserve">BD6J </v>
      </c>
      <c r="N224" s="7" t="str">
        <f>IF([1]All!$R225=0,"",[1]All!$R225)</f>
        <v/>
      </c>
      <c r="O224" s="7" t="str">
        <f>IF([1]All!$S225=0,"",[1]All!$S225)</f>
        <v/>
      </c>
      <c r="P224" s="7" t="str">
        <f>IF([1]All!$V225=0,"",[1]All!$V225)</f>
        <v>0000001275</v>
      </c>
      <c r="Q224" s="3" t="str">
        <f t="shared" si="23"/>
        <v>$12.75</v>
      </c>
      <c r="R224" s="8" t="str">
        <f>IF([1]All!$F225=0,"",[1]All!$F225)</f>
        <v>MIL-001-1558</v>
      </c>
    </row>
    <row r="225" spans="1:18">
      <c r="A225" s="7"/>
      <c r="B225" s="3">
        <f t="shared" si="18"/>
        <v>70</v>
      </c>
      <c r="C225" s="3" t="str">
        <f t="shared" si="19"/>
        <v>F</v>
      </c>
      <c r="D225" s="9" t="str">
        <f t="shared" si="20"/>
        <v>MIL-001-1559</v>
      </c>
      <c r="E225" s="3" t="str">
        <f t="shared" si="21"/>
        <v>BF28  MIL-001-1559</v>
      </c>
      <c r="F225" s="10" t="str">
        <f t="shared" si="22"/>
        <v>PCCN: CRGARM:-:PLISN: BF28 :-:PCC: TIT :-: CAGE: 0UJB5:-:PART NUMBER: MIL-001-1559:-:NOMENCLATURE: DUST COVER:-:PRICE: $41.60:-:UNIQUE MODS: NO:-:PROPRIETARILY MFG FOR OEM: NO:-: :-: :-: :-: :-: NHA: MIL-001-203</v>
      </c>
      <c r="G225" s="8" t="str">
        <f>IF([1]All!$B226="","",[1]All!$B226)</f>
        <v xml:space="preserve">BF28 </v>
      </c>
      <c r="H225" s="8"/>
      <c r="I225" s="8" t="str">
        <f>IF([1]All!$D226=0,"",[1]All!$D226)</f>
        <v>F</v>
      </c>
      <c r="J225" s="8" t="str">
        <f>IF([1]All!$E226=0,"",[1]All!$E226)</f>
        <v>0UJB5</v>
      </c>
      <c r="K225" s="8" t="s">
        <v>177</v>
      </c>
      <c r="L225" s="11" t="str">
        <f>IF([1]All!$L226=0,"",[1]All!$L226)</f>
        <v>DUST COVER</v>
      </c>
      <c r="M225" s="7" t="str">
        <f>IF([1]All!$AJ226=0,"",[1]All!$AJ226)</f>
        <v xml:space="preserve">BD6J </v>
      </c>
      <c r="N225" s="7" t="str">
        <f>IF([1]All!$R226=0,"",[1]All!$R226)</f>
        <v/>
      </c>
      <c r="O225" s="7" t="str">
        <f>IF([1]All!$S226=0,"",[1]All!$S226)</f>
        <v/>
      </c>
      <c r="P225" s="7" t="str">
        <f>IF([1]All!$V226=0,"",[1]All!$V226)</f>
        <v>0000004160</v>
      </c>
      <c r="Q225" s="3" t="str">
        <f t="shared" si="23"/>
        <v>$41.60</v>
      </c>
      <c r="R225" s="8" t="str">
        <f>IF([1]All!$F226=0,"",[1]All!$F226)</f>
        <v>MIL-001-1559</v>
      </c>
    </row>
    <row r="226" spans="1:18">
      <c r="A226" s="7"/>
      <c r="B226" s="3">
        <f t="shared" si="18"/>
        <v>69</v>
      </c>
      <c r="C226" s="3" t="str">
        <f t="shared" si="19"/>
        <v>E</v>
      </c>
      <c r="D226" s="9" t="str">
        <f t="shared" si="20"/>
        <v>6EMTXS</v>
      </c>
      <c r="E226" s="3" t="str">
        <f t="shared" si="21"/>
        <v>BF84  6EMTXS</v>
      </c>
      <c r="F226" s="10" t="str">
        <f t="shared" si="22"/>
        <v>PCCN: CRGARM:-:PLISN: BF84 :-:PCC: TIT :-: CAGE: 45681:-:PART NUMBER: 6EMTXS:-:NOMENCLATURE: ELBOW,TUBE:-:PRICE: $14.79:-:UNIQUE MODS: NO:-:PROPRIETARILY MFG FOR OEM: NO:-: :-: :-: :-:NSN: 4730016005351 :-: NHA: MIL-001-078 :-: NHA NSN: 3040015645678</v>
      </c>
      <c r="G226" s="8" t="str">
        <f>IF([1]All!$B227="","",[1]All!$B227)</f>
        <v xml:space="preserve">BF84 </v>
      </c>
      <c r="H226" s="8"/>
      <c r="I226" s="8" t="str">
        <f>IF([1]All!$D227=0,"",[1]All!$D227)</f>
        <v>E</v>
      </c>
      <c r="J226" s="8" t="str">
        <f>IF([1]All!$E227=0,"",[1]All!$E227)</f>
        <v>45681</v>
      </c>
      <c r="K226" s="8" t="s">
        <v>178</v>
      </c>
      <c r="L226" s="11" t="str">
        <f>IF([1]All!$L227=0,"",[1]All!$L227)</f>
        <v>ELBOW,TUBE</v>
      </c>
      <c r="M226" s="7" t="str">
        <f>IF([1]All!$AJ227=0,"",[1]All!$AJ227)</f>
        <v xml:space="preserve">BD0N </v>
      </c>
      <c r="N226" s="7" t="str">
        <f>IF([1]All!$R227=0,"",[1]All!$R227)</f>
        <v>4730</v>
      </c>
      <c r="O226" s="7" t="str">
        <f>IF([1]All!$S227=0,"",[1]All!$S227)</f>
        <v>016005351</v>
      </c>
      <c r="P226" s="7" t="str">
        <f>IF([1]All!$V227=0,"",[1]All!$V227)</f>
        <v>0000001479</v>
      </c>
      <c r="Q226" s="3" t="str">
        <f t="shared" si="23"/>
        <v>$14.79</v>
      </c>
      <c r="R226" s="8" t="str">
        <f>IF([1]All!$F227=0,"",[1]All!$F227)</f>
        <v>6EMTXS</v>
      </c>
    </row>
    <row r="227" spans="1:18">
      <c r="A227" s="7"/>
      <c r="B227" s="3">
        <f t="shared" si="18"/>
        <v>68</v>
      </c>
      <c r="C227" s="3" t="str">
        <f t="shared" si="19"/>
        <v>D</v>
      </c>
      <c r="D227" s="9" t="str">
        <f t="shared" si="20"/>
        <v>58697</v>
      </c>
      <c r="E227" s="3" t="str">
        <f t="shared" si="21"/>
        <v>BGE0  58697</v>
      </c>
      <c r="F227" s="10" t="str">
        <f t="shared" si="22"/>
        <v>PCCN: CRGARM:-:PLISN: BGE0 :-:PCC: TIT :-: CAGE: 0PVE5:-:PART NUMBER: 58697:-:NOMENCLATURE: BOLT,SHOULDER:-:PRICE: $4.70:-:UNIQUE MODS: NO:-:PROPRIETARILY MFG FOR OEM: NO:-: :-: :-: :-:NSN: 5306015659334 :-: NHA: MIL-001-047</v>
      </c>
      <c r="G227" s="8" t="str">
        <f>IF([1]All!$B228="","",[1]All!$B228)</f>
        <v xml:space="preserve">BGE0 </v>
      </c>
      <c r="H227" s="8"/>
      <c r="I227" s="8" t="str">
        <f>IF([1]All!$D228=0,"",[1]All!$D228)</f>
        <v>D</v>
      </c>
      <c r="J227" s="8" t="str">
        <f>IF([1]All!$E228=0,"",[1]All!$E228)</f>
        <v>0PVE5</v>
      </c>
      <c r="K227" s="8" t="s">
        <v>179</v>
      </c>
      <c r="L227" s="11" t="str">
        <f>IF([1]All!$L228=0,"",[1]All!$L228)</f>
        <v>BOLT,SHOULDER</v>
      </c>
      <c r="M227" s="7" t="str">
        <f>IF([1]All!$AJ228=0,"",[1]All!$AJ228)</f>
        <v xml:space="preserve">BCTG </v>
      </c>
      <c r="N227" s="7" t="str">
        <f>IF([1]All!$R228=0,"",[1]All!$R228)</f>
        <v>5306</v>
      </c>
      <c r="O227" s="7" t="str">
        <f>IF([1]All!$S228=0,"",[1]All!$S228)</f>
        <v>015659334</v>
      </c>
      <c r="P227" s="7" t="str">
        <f>IF([1]All!$V228=0,"",[1]All!$V228)</f>
        <v>0000000470</v>
      </c>
      <c r="Q227" s="3" t="str">
        <f t="shared" si="23"/>
        <v>$4.70</v>
      </c>
      <c r="R227" s="8" t="str">
        <f>IF([1]All!$F228=0,"",[1]All!$F228)</f>
        <v>58697</v>
      </c>
    </row>
    <row r="228" spans="1:18">
      <c r="A228" s="7"/>
      <c r="B228" s="3">
        <f t="shared" si="18"/>
        <v>68</v>
      </c>
      <c r="C228" s="3" t="str">
        <f t="shared" si="19"/>
        <v>D</v>
      </c>
      <c r="D228" s="9" t="str">
        <f t="shared" si="20"/>
        <v>98180A160</v>
      </c>
      <c r="E228" s="3" t="str">
        <f t="shared" si="21"/>
        <v>BGLW  98180A160</v>
      </c>
      <c r="F228" s="10" t="str">
        <f t="shared" si="22"/>
        <v>PCCN: CRGARM:-:PLISN: BGLW :-:PCC: TIT :-: CAGE: 39428:-:PART NUMBER: 98180A160:-:NOMENCLATURE: WASHER,FLAT:-:PRICE: $0.86:-:UNIQUE MODS: NO:-:PROPRIETARILY MFG FOR OEM: NO:-: :-: :-: :-:NSN: 5310015661004 :-: NHA: MIL-001-047</v>
      </c>
      <c r="G228" s="8" t="str">
        <f>IF([1]All!$B229="","",[1]All!$B229)</f>
        <v xml:space="preserve">BGLW </v>
      </c>
      <c r="H228" s="8"/>
      <c r="I228" s="8" t="str">
        <f>IF([1]All!$D229=0,"",[1]All!$D229)</f>
        <v>D</v>
      </c>
      <c r="J228" s="8" t="str">
        <f>IF([1]All!$E229=0,"",[1]All!$E229)</f>
        <v>39428</v>
      </c>
      <c r="K228" s="8" t="s">
        <v>180</v>
      </c>
      <c r="L228" s="11" t="str">
        <f>IF([1]All!$L229=0,"",[1]All!$L229)</f>
        <v>WASHER,FLAT</v>
      </c>
      <c r="M228" s="7" t="str">
        <f>IF([1]All!$AJ229=0,"",[1]All!$AJ229)</f>
        <v xml:space="preserve">BCTG </v>
      </c>
      <c r="N228" s="7" t="str">
        <f>IF([1]All!$R229=0,"",[1]All!$R229)</f>
        <v>5310</v>
      </c>
      <c r="O228" s="7" t="str">
        <f>IF([1]All!$S229=0,"",[1]All!$S229)</f>
        <v>015661004</v>
      </c>
      <c r="P228" s="7" t="str">
        <f>IF([1]All!$V229=0,"",[1]All!$V229)</f>
        <v>0000000086</v>
      </c>
      <c r="Q228" s="3" t="str">
        <f t="shared" si="23"/>
        <v>$0.86</v>
      </c>
      <c r="R228" s="8" t="str">
        <f>IF([1]All!$F229=0,"",[1]All!$F229)</f>
        <v>98180A160</v>
      </c>
    </row>
    <row r="229" spans="1:18">
      <c r="A229" s="7"/>
      <c r="B229" s="3">
        <f t="shared" si="18"/>
        <v>68</v>
      </c>
      <c r="C229" s="3" t="str">
        <f t="shared" si="19"/>
        <v>D</v>
      </c>
      <c r="D229" s="9" t="str">
        <f t="shared" si="20"/>
        <v>37577</v>
      </c>
      <c r="E229" s="3" t="str">
        <f t="shared" si="21"/>
        <v>BGSS  37577</v>
      </c>
      <c r="F229" s="10" t="str">
        <f t="shared" si="22"/>
        <v>PCCN: CRGARM:-:PLISN: BGSS :-:PCC: TIT :-: CAGE: 0Y3H3:-:PART NUMBER: 37577:-:NOMENCLATURE: NUT,SELF-LOCKING,HE:-:PRICE: $0.61:-:UNIQUE MODS: NO:-:PROPRIETARILY MFG FOR OEM: NO:-: :-: :-: :-:NSN: 5310016005331 :-: NHA: MIL-001-047</v>
      </c>
      <c r="G229" s="8" t="str">
        <f>IF([1]All!$B230="","",[1]All!$B230)</f>
        <v xml:space="preserve">BGSS </v>
      </c>
      <c r="H229" s="8"/>
      <c r="I229" s="8" t="str">
        <f>IF([1]All!$D230=0,"",[1]All!$D230)</f>
        <v>D</v>
      </c>
      <c r="J229" s="8" t="str">
        <f>IF([1]All!$E230=0,"",[1]All!$E230)</f>
        <v>0Y3H3</v>
      </c>
      <c r="K229" s="8" t="s">
        <v>181</v>
      </c>
      <c r="L229" s="11" t="str">
        <f>IF([1]All!$L230=0,"",[1]All!$L230)</f>
        <v>NUT,SELF-LOCKING,HE</v>
      </c>
      <c r="M229" s="7" t="str">
        <f>IF([1]All!$AJ230=0,"",[1]All!$AJ230)</f>
        <v xml:space="preserve">BCTG </v>
      </c>
      <c r="N229" s="7" t="str">
        <f>IF([1]All!$R230=0,"",[1]All!$R230)</f>
        <v>5310</v>
      </c>
      <c r="O229" s="7" t="str">
        <f>IF([1]All!$S230=0,"",[1]All!$S230)</f>
        <v>016005331</v>
      </c>
      <c r="P229" s="7" t="str">
        <f>IF([1]All!$V230=0,"",[1]All!$V230)</f>
        <v>0000000061</v>
      </c>
      <c r="Q229" s="3" t="str">
        <f t="shared" si="23"/>
        <v>$0.61</v>
      </c>
      <c r="R229" s="8" t="str">
        <f>IF([1]All!$F230=0,"",[1]All!$F230)</f>
        <v>37577</v>
      </c>
    </row>
    <row r="230" spans="1:18">
      <c r="A230" s="7"/>
      <c r="B230" s="3">
        <f t="shared" si="18"/>
        <v>68</v>
      </c>
      <c r="C230" s="3" t="str">
        <f t="shared" si="19"/>
        <v>D</v>
      </c>
      <c r="D230" s="9" t="str">
        <f t="shared" si="20"/>
        <v>MIL-001-376</v>
      </c>
      <c r="E230" s="3" t="str">
        <f t="shared" si="21"/>
        <v>BGYN  MIL-001-376</v>
      </c>
      <c r="F230" s="10" t="str">
        <f t="shared" si="22"/>
        <v>PCCN: CRGARM:-:PLISN: BGYN :-:PCC: TIT :-: CAGE: 0UJB5:-:PART NUMBER: MIL-001-376:-:NOMENCLATURE: HOSE ASSEMBLY,NONME:-:PRICE: $115.20:-:UNIQUE MODS: NO:-:PROPRIETARILY MFG FOR OEM: NO:-: :-: :-: :-:NSN: 4720015659271 :-: NHA: MIL-001-047</v>
      </c>
      <c r="G230" s="8" t="str">
        <f>IF([1]All!$B231="","",[1]All!$B231)</f>
        <v xml:space="preserve">BGYN </v>
      </c>
      <c r="H230" s="8"/>
      <c r="I230" s="8" t="str">
        <f>IF([1]All!$D231=0,"",[1]All!$D231)</f>
        <v>D</v>
      </c>
      <c r="J230" s="8" t="str">
        <f>IF([1]All!$E231=0,"",[1]All!$E231)</f>
        <v>0UJB5</v>
      </c>
      <c r="K230" s="8" t="s">
        <v>182</v>
      </c>
      <c r="L230" s="11" t="str">
        <f>IF([1]All!$L231=0,"",[1]All!$L231)</f>
        <v>HOSE ASSEMBLY,NONME</v>
      </c>
      <c r="M230" s="7" t="str">
        <f>IF([1]All!$AJ231=0,"",[1]All!$AJ231)</f>
        <v xml:space="preserve">BCTG </v>
      </c>
      <c r="N230" s="7" t="str">
        <f>IF([1]All!$R231=0,"",[1]All!$R231)</f>
        <v>4720</v>
      </c>
      <c r="O230" s="7" t="str">
        <f>IF([1]All!$S231=0,"",[1]All!$S231)</f>
        <v>015659271</v>
      </c>
      <c r="P230" s="7" t="str">
        <f>IF([1]All!$V231=0,"",[1]All!$V231)</f>
        <v>0000011520</v>
      </c>
      <c r="Q230" s="3" t="str">
        <f t="shared" si="23"/>
        <v>$115.20</v>
      </c>
      <c r="R230" s="8" t="str">
        <f>IF([1]All!$F231=0,"",[1]All!$F231)</f>
        <v>MIL-001-376</v>
      </c>
    </row>
    <row r="231" spans="1:18">
      <c r="A231" s="7"/>
      <c r="B231" s="3">
        <f t="shared" si="18"/>
        <v>68</v>
      </c>
      <c r="C231" s="3" t="str">
        <f t="shared" si="19"/>
        <v>D</v>
      </c>
      <c r="D231" s="9" t="str">
        <f t="shared" si="20"/>
        <v>MIL-001-377</v>
      </c>
      <c r="E231" s="3" t="str">
        <f t="shared" si="21"/>
        <v>BG4J  MIL-001-377</v>
      </c>
      <c r="F231" s="10" t="str">
        <f t="shared" si="22"/>
        <v>PCCN: CRGARM:-:PLISN: BG4J :-:PCC: TIT :-: CAGE: 0UJB5:-:PART NUMBER: MIL-001-377:-:NOMENCLATURE: HOSE ASSEMBLY,NONME:-:PRICE: $126.00:-:UNIQUE MODS: NO:-:PROPRIETARILY MFG FOR OEM: NO:-: :-: :-: :-:NSN: 4720015660774 :-: NHA: MIL-001-047</v>
      </c>
      <c r="G231" s="8" t="str">
        <f>IF([1]All!$B232="","",[1]All!$B232)</f>
        <v xml:space="preserve">BG4J </v>
      </c>
      <c r="H231" s="8"/>
      <c r="I231" s="8" t="str">
        <f>IF([1]All!$D232=0,"",[1]All!$D232)</f>
        <v>D</v>
      </c>
      <c r="J231" s="8" t="str">
        <f>IF([1]All!$E232=0,"",[1]All!$E232)</f>
        <v>0UJB5</v>
      </c>
      <c r="K231" s="8" t="s">
        <v>183</v>
      </c>
      <c r="L231" s="11" t="str">
        <f>IF([1]All!$L232=0,"",[1]All!$L232)</f>
        <v>HOSE ASSEMBLY,NONME</v>
      </c>
      <c r="M231" s="7" t="str">
        <f>IF([1]All!$AJ232=0,"",[1]All!$AJ232)</f>
        <v xml:space="preserve">BCTG </v>
      </c>
      <c r="N231" s="7" t="str">
        <f>IF([1]All!$R232=0,"",[1]All!$R232)</f>
        <v>4720</v>
      </c>
      <c r="O231" s="7" t="str">
        <f>IF([1]All!$S232=0,"",[1]All!$S232)</f>
        <v>015660774</v>
      </c>
      <c r="P231" s="7" t="str">
        <f>IF([1]All!$V232=0,"",[1]All!$V232)</f>
        <v>0000012600</v>
      </c>
      <c r="Q231" s="3" t="str">
        <f t="shared" si="23"/>
        <v>$126.00</v>
      </c>
      <c r="R231" s="8" t="str">
        <f>IF([1]All!$F232=0,"",[1]All!$F232)</f>
        <v>MIL-001-377</v>
      </c>
    </row>
    <row r="232" spans="1:18">
      <c r="A232" s="7"/>
      <c r="B232" s="3">
        <f t="shared" si="18"/>
        <v>68</v>
      </c>
      <c r="C232" s="3" t="str">
        <f t="shared" si="19"/>
        <v>D</v>
      </c>
      <c r="D232" s="9" t="str">
        <f t="shared" si="20"/>
        <v>MIL-001-130</v>
      </c>
      <c r="E232" s="3" t="str">
        <f t="shared" si="21"/>
        <v>BHAE  MIL-001-130</v>
      </c>
      <c r="F232" s="10" t="str">
        <f t="shared" si="22"/>
        <v>PCCN: CRGARM:-:PLISN: BHAE :-:PCC: TIT :-: CAGE: 0UJB5:-:PART NUMBER: MIL-001-130:-:NOMENCLATURE: CYLINDER ASSEMBLY,A:-:PRICE: $1518.78:-:UNIQUE MODS: NO:-:PROPRIETARILY MFG FOR OEM: NO:-: :-: :-: :-: :-: NHA: MIL-001-047</v>
      </c>
      <c r="G232" s="8" t="str">
        <f>IF([1]All!$B233="","",[1]All!$B233)</f>
        <v xml:space="preserve">BHAE </v>
      </c>
      <c r="H232" s="8"/>
      <c r="I232" s="8" t="str">
        <f>IF([1]All!$D233=0,"",[1]All!$D233)</f>
        <v>D</v>
      </c>
      <c r="J232" s="8" t="str">
        <f>IF([1]All!$E233=0,"",[1]All!$E233)</f>
        <v>0UJB5</v>
      </c>
      <c r="K232" s="8" t="s">
        <v>184</v>
      </c>
      <c r="L232" s="11" t="str">
        <f>IF([1]All!$L233=0,"",[1]All!$L233)</f>
        <v>CYLINDER ASSEMBLY,A</v>
      </c>
      <c r="M232" s="7" t="str">
        <f>IF([1]All!$AJ233=0,"",[1]All!$AJ233)</f>
        <v xml:space="preserve">BCTG </v>
      </c>
      <c r="N232" s="7" t="str">
        <f>IF([1]All!$R233=0,"",[1]All!$R233)</f>
        <v/>
      </c>
      <c r="O232" s="7" t="str">
        <f>IF([1]All!$S233=0,"",[1]All!$S233)</f>
        <v/>
      </c>
      <c r="P232" s="7" t="str">
        <f>IF([1]All!$V233=0,"",[1]All!$V233)</f>
        <v>0000151878</v>
      </c>
      <c r="Q232" s="3" t="str">
        <f t="shared" si="23"/>
        <v>$1518.78</v>
      </c>
      <c r="R232" s="8" t="str">
        <f>IF([1]All!$F233=0,"",[1]All!$F233)</f>
        <v>MIL-001-130</v>
      </c>
    </row>
    <row r="233" spans="1:18">
      <c r="A233" s="7"/>
      <c r="B233" s="3">
        <f t="shared" si="18"/>
        <v>69</v>
      </c>
      <c r="C233" s="3" t="str">
        <f t="shared" si="19"/>
        <v>E</v>
      </c>
      <c r="D233" s="9" t="str">
        <f t="shared" si="20"/>
        <v>MIL-001-208</v>
      </c>
      <c r="E233" s="3" t="str">
        <f t="shared" si="21"/>
        <v>BHGA  MIL-001-208</v>
      </c>
      <c r="F233" s="10" t="str">
        <f t="shared" si="22"/>
        <v>PCCN: CRGARM:-:PLISN: BHGA :-:PCC: TIT :-: CAGE: 0UJB5:-:PART NUMBER: MIL-001-208:-:NOMENCLATURE: CYLINDER,ACTUATING,:-:PRICE: $878.46:-:UNIQUE MODS: NO:-:PROPRIETARILY MFG FOR OEM: NO:-: :-: :-: :-:NSN: 3040015668024 :-: NHA: MIL-001-130</v>
      </c>
      <c r="G233" s="8" t="str">
        <f>IF([1]All!$B234="","",[1]All!$B234)</f>
        <v xml:space="preserve">BHGA </v>
      </c>
      <c r="H233" s="8"/>
      <c r="I233" s="8" t="str">
        <f>IF([1]All!$D234=0,"",[1]All!$D234)</f>
        <v>E</v>
      </c>
      <c r="J233" s="8" t="str">
        <f>IF([1]All!$E234=0,"",[1]All!$E234)</f>
        <v>0UJB5</v>
      </c>
      <c r="K233" s="8" t="s">
        <v>185</v>
      </c>
      <c r="L233" s="11" t="str">
        <f>IF([1]All!$L234=0,"",[1]All!$L234)</f>
        <v>CYLINDER,ACTUATING,</v>
      </c>
      <c r="M233" s="7" t="str">
        <f>IF([1]All!$AJ234=0,"",[1]All!$AJ234)</f>
        <v xml:space="preserve">BHAE </v>
      </c>
      <c r="N233" s="7" t="str">
        <f>IF([1]All!$R234=0,"",[1]All!$R234)</f>
        <v>3040</v>
      </c>
      <c r="O233" s="7" t="str">
        <f>IF([1]All!$S234=0,"",[1]All!$S234)</f>
        <v>015668024</v>
      </c>
      <c r="P233" s="7" t="str">
        <f>IF([1]All!$V234=0,"",[1]All!$V234)</f>
        <v>0000087846</v>
      </c>
      <c r="Q233" s="3" t="str">
        <f t="shared" si="23"/>
        <v>$878.46</v>
      </c>
      <c r="R233" s="8" t="str">
        <f>IF([1]All!$F234=0,"",[1]All!$F234)</f>
        <v>MIL-001-208</v>
      </c>
    </row>
    <row r="234" spans="1:18">
      <c r="A234" s="7"/>
      <c r="B234" s="3">
        <f t="shared" si="18"/>
        <v>70</v>
      </c>
      <c r="C234" s="3" t="str">
        <f t="shared" si="19"/>
        <v>F</v>
      </c>
      <c r="D234" s="9" t="str">
        <f t="shared" si="20"/>
        <v>MIL-001-1549</v>
      </c>
      <c r="E234" s="3" t="str">
        <f t="shared" si="21"/>
        <v>BHM6  MIL-001-1549</v>
      </c>
      <c r="F234" s="10" t="str">
        <f t="shared" si="22"/>
        <v>PCCN: CRGARM:-:PLISN: BHM6 :-:PCC: TIT :-: CAGE: 0UJB5:-:PART NUMBER: MIL-001-1549:-:NOMENCLATURE: BODY,CYLINDER:-:PRICE: $237.17:-:UNIQUE MODS: NO:-:PROPRIETARILY MFG FOR OEM: NO:-: :-: :-: :-: :-: NHA: MIL-001-208 :-: NHA NSN: 3040015668024</v>
      </c>
      <c r="G234" s="8" t="str">
        <f>IF([1]All!$B235="","",[1]All!$B235)</f>
        <v xml:space="preserve">BHM6 </v>
      </c>
      <c r="H234" s="8"/>
      <c r="I234" s="8" t="str">
        <f>IF([1]All!$D235=0,"",[1]All!$D235)</f>
        <v>F</v>
      </c>
      <c r="J234" s="8" t="str">
        <f>IF([1]All!$E235=0,"",[1]All!$E235)</f>
        <v>0UJB5</v>
      </c>
      <c r="K234" s="8" t="s">
        <v>186</v>
      </c>
      <c r="L234" s="11" t="str">
        <f>IF([1]All!$L235=0,"",[1]All!$L235)</f>
        <v>BODY,CYLINDER</v>
      </c>
      <c r="M234" s="7" t="str">
        <f>IF([1]All!$AJ235=0,"",[1]All!$AJ235)</f>
        <v xml:space="preserve">BHGA </v>
      </c>
      <c r="N234" s="7" t="str">
        <f>IF([1]All!$R235=0,"",[1]All!$R235)</f>
        <v/>
      </c>
      <c r="O234" s="7" t="str">
        <f>IF([1]All!$S235=0,"",[1]All!$S235)</f>
        <v/>
      </c>
      <c r="P234" s="7" t="str">
        <f>IF([1]All!$V235=0,"",[1]All!$V235)</f>
        <v>0000023717</v>
      </c>
      <c r="Q234" s="3" t="str">
        <f t="shared" si="23"/>
        <v>$237.17</v>
      </c>
      <c r="R234" s="8" t="str">
        <f>IF([1]All!$F235=0,"",[1]All!$F235)</f>
        <v>MIL-001-1549</v>
      </c>
    </row>
    <row r="235" spans="1:18">
      <c r="A235" s="7"/>
      <c r="B235" s="3">
        <f t="shared" si="18"/>
        <v>70</v>
      </c>
      <c r="C235" s="3" t="str">
        <f t="shared" si="19"/>
        <v>F</v>
      </c>
      <c r="D235" s="9" t="str">
        <f t="shared" si="20"/>
        <v>MIL-001-1550</v>
      </c>
      <c r="E235" s="3" t="str">
        <f t="shared" si="21"/>
        <v>BHT2  MIL-001-1550</v>
      </c>
      <c r="F235" s="10" t="str">
        <f t="shared" si="22"/>
        <v>PCCN: CRGARM:-:PLISN: BHT2 :-:PCC: TIT :-: CAGE: 0UJB5:-:PART NUMBER: MIL-001-1550:-:NOMENCLATURE: ROD:-:PRICE: $78.50:-:UNIQUE MODS: NO:-:PROPRIETARILY MFG FOR OEM: NO:-: :-: :-: :-: :-: NHA: MIL-001-208 :-: NHA NSN: 3040015668024</v>
      </c>
      <c r="G235" s="8" t="str">
        <f>IF([1]All!$B236="","",[1]All!$B236)</f>
        <v xml:space="preserve">BHT2 </v>
      </c>
      <c r="H235" s="8"/>
      <c r="I235" s="8" t="str">
        <f>IF([1]All!$D236=0,"",[1]All!$D236)</f>
        <v>F</v>
      </c>
      <c r="J235" s="8" t="str">
        <f>IF([1]All!$E236=0,"",[1]All!$E236)</f>
        <v>0UJB5</v>
      </c>
      <c r="K235" s="8" t="s">
        <v>187</v>
      </c>
      <c r="L235" s="11" t="str">
        <f>IF([1]All!$L236=0,"",[1]All!$L236)</f>
        <v>ROD</v>
      </c>
      <c r="M235" s="7" t="str">
        <f>IF([1]All!$AJ236=0,"",[1]All!$AJ236)</f>
        <v xml:space="preserve">BHGA </v>
      </c>
      <c r="N235" s="7" t="str">
        <f>IF([1]All!$R236=0,"",[1]All!$R236)</f>
        <v/>
      </c>
      <c r="O235" s="7" t="str">
        <f>IF([1]All!$S236=0,"",[1]All!$S236)</f>
        <v/>
      </c>
      <c r="P235" s="7" t="str">
        <f>IF([1]All!$V236=0,"",[1]All!$V236)</f>
        <v>0000007850</v>
      </c>
      <c r="Q235" s="3" t="str">
        <f t="shared" si="23"/>
        <v>$78.50</v>
      </c>
      <c r="R235" s="8" t="str">
        <f>IF([1]All!$F236=0,"",[1]All!$F236)</f>
        <v>MIL-001-1550</v>
      </c>
    </row>
    <row r="236" spans="1:18">
      <c r="A236" s="7"/>
      <c r="B236" s="3">
        <f t="shared" si="18"/>
        <v>70</v>
      </c>
      <c r="C236" s="3" t="str">
        <f t="shared" si="19"/>
        <v>F</v>
      </c>
      <c r="D236" s="9" t="str">
        <f t="shared" si="20"/>
        <v>MIL-001-1551</v>
      </c>
      <c r="E236" s="3" t="str">
        <f t="shared" si="21"/>
        <v>BHZY  MIL-001-1551</v>
      </c>
      <c r="F236" s="10" t="str">
        <f t="shared" si="22"/>
        <v>PCCN: CRGARM:-:PLISN: BHZY :-:PCC: TIT :-: CAGE: 0UJB5:-:PART NUMBER: MIL-001-1551:-:NOMENCLATURE: NUT RING:-:PRICE: $7.25:-:UNIQUE MODS: NO:-:PROPRIETARILY MFG FOR OEM: NO:-: :-: :-: :-: :-: NHA: MIL-001-208 :-: NHA NSN: 3040015668024</v>
      </c>
      <c r="G236" s="8" t="str">
        <f>IF([1]All!$B237="","",[1]All!$B237)</f>
        <v xml:space="preserve">BHZY </v>
      </c>
      <c r="H236" s="8"/>
      <c r="I236" s="8" t="str">
        <f>IF([1]All!$D237=0,"",[1]All!$D237)</f>
        <v>F</v>
      </c>
      <c r="J236" s="8" t="str">
        <f>IF([1]All!$E237=0,"",[1]All!$E237)</f>
        <v>0UJB5</v>
      </c>
      <c r="K236" s="8" t="s">
        <v>170</v>
      </c>
      <c r="L236" s="11" t="str">
        <f>IF([1]All!$L237=0,"",[1]All!$L237)</f>
        <v>NUT RING</v>
      </c>
      <c r="M236" s="7" t="str">
        <f>IF([1]All!$AJ237=0,"",[1]All!$AJ237)</f>
        <v xml:space="preserve">BHGA </v>
      </c>
      <c r="N236" s="7" t="str">
        <f>IF([1]All!$R237=0,"",[1]All!$R237)</f>
        <v/>
      </c>
      <c r="O236" s="7" t="str">
        <f>IF([1]All!$S237=0,"",[1]All!$S237)</f>
        <v/>
      </c>
      <c r="P236" s="7" t="str">
        <f>IF([1]All!$V237=0,"",[1]All!$V237)</f>
        <v>0000000725</v>
      </c>
      <c r="Q236" s="3" t="str">
        <f t="shared" si="23"/>
        <v>$7.25</v>
      </c>
      <c r="R236" s="8" t="str">
        <f>IF([1]All!$F237=0,"",[1]All!$F237)</f>
        <v>MIL-001-1551</v>
      </c>
    </row>
    <row r="237" spans="1:18">
      <c r="A237" s="7"/>
      <c r="B237" s="3">
        <f t="shared" si="18"/>
        <v>70</v>
      </c>
      <c r="C237" s="3" t="str">
        <f t="shared" si="19"/>
        <v>F</v>
      </c>
      <c r="D237" s="9" t="str">
        <f t="shared" si="20"/>
        <v>MIL-001-1552</v>
      </c>
      <c r="E237" s="3" t="str">
        <f t="shared" si="21"/>
        <v>BH5U  MIL-001-1552</v>
      </c>
      <c r="F237" s="10" t="str">
        <f t="shared" si="22"/>
        <v>PCCN: CRGARM:-:PLISN: BH5U :-:PCC: TIT :-: CAGE: 0UJB5:-:PART NUMBER: MIL-001-1552:-:NOMENCLATURE: PISTON:-:PRICE: $138.00:-:UNIQUE MODS: NO:-:PROPRIETARILY MFG FOR OEM: NO:-: :-: :-: :-: :-: NHA: MIL-001-208 :-: NHA NSN: 3040015668024</v>
      </c>
      <c r="G237" s="8" t="str">
        <f>IF([1]All!$B238="","",[1]All!$B238)</f>
        <v xml:space="preserve">BH5U </v>
      </c>
      <c r="H237" s="8"/>
      <c r="I237" s="8" t="str">
        <f>IF([1]All!$D238=0,"",[1]All!$D238)</f>
        <v>F</v>
      </c>
      <c r="J237" s="8" t="str">
        <f>IF([1]All!$E238=0,"",[1]All!$E238)</f>
        <v>0UJB5</v>
      </c>
      <c r="K237" s="8" t="s">
        <v>171</v>
      </c>
      <c r="L237" s="11" t="str">
        <f>IF([1]All!$L238=0,"",[1]All!$L238)</f>
        <v>PISTON</v>
      </c>
      <c r="M237" s="7" t="str">
        <f>IF([1]All!$AJ238=0,"",[1]All!$AJ238)</f>
        <v xml:space="preserve">BHGA </v>
      </c>
      <c r="N237" s="7" t="str">
        <f>IF([1]All!$R238=0,"",[1]All!$R238)</f>
        <v/>
      </c>
      <c r="O237" s="7" t="str">
        <f>IF([1]All!$S238=0,"",[1]All!$S238)</f>
        <v/>
      </c>
      <c r="P237" s="7" t="str">
        <f>IF([1]All!$V238=0,"",[1]All!$V238)</f>
        <v>0000013800</v>
      </c>
      <c r="Q237" s="3" t="str">
        <f t="shared" si="23"/>
        <v>$138.00</v>
      </c>
      <c r="R237" s="8" t="str">
        <f>IF([1]All!$F238=0,"",[1]All!$F238)</f>
        <v>MIL-001-1552</v>
      </c>
    </row>
    <row r="238" spans="1:18">
      <c r="A238" s="7"/>
      <c r="B238" s="3">
        <f t="shared" si="18"/>
        <v>70</v>
      </c>
      <c r="C238" s="3" t="str">
        <f t="shared" si="19"/>
        <v>F</v>
      </c>
      <c r="D238" s="9" t="str">
        <f t="shared" si="20"/>
        <v>DBM 216153</v>
      </c>
      <c r="E238" s="3" t="str">
        <f t="shared" si="21"/>
        <v>BJBQ  DBM 216153</v>
      </c>
      <c r="F238" s="10" t="str">
        <f t="shared" si="22"/>
        <v>PCCN: CRGARM:-:PLISN: BJBQ :-:PCC: TIT :-: CAGE: 0U5J4:-:PART NUMBER: DBM 216153:-:NOMENCLATURE: SEAL:-:PRICE: $12.75:-:UNIQUE MODS: NO:-:PROPRIETARILY MFG FOR OEM: NO:-: :-: :-: :-: :-: NHA: MIL-001-208 :-: NHA NSN: 3040015668024</v>
      </c>
      <c r="G238" s="8" t="str">
        <f>IF([1]All!$B239="","",[1]All!$B239)</f>
        <v xml:space="preserve">BJBQ </v>
      </c>
      <c r="H238" s="8"/>
      <c r="I238" s="8" t="str">
        <f>IF([1]All!$D239=0,"",[1]All!$D239)</f>
        <v>F</v>
      </c>
      <c r="J238" s="8" t="str">
        <f>IF([1]All!$E239=0,"",[1]All!$E239)</f>
        <v>0U5J4</v>
      </c>
      <c r="K238" s="8" t="s">
        <v>441</v>
      </c>
      <c r="L238" s="11" t="str">
        <f>IF([1]All!$L239=0,"",[1]All!$L239)</f>
        <v>SEAL</v>
      </c>
      <c r="M238" s="7" t="str">
        <f>IF([1]All!$AJ239=0,"",[1]All!$AJ239)</f>
        <v xml:space="preserve">BHGA </v>
      </c>
      <c r="N238" s="7" t="str">
        <f>IF([1]All!$R239=0,"",[1]All!$R239)</f>
        <v/>
      </c>
      <c r="O238" s="7" t="str">
        <f>IF([1]All!$S239=0,"",[1]All!$S239)</f>
        <v/>
      </c>
      <c r="P238" s="7" t="str">
        <f>IF([1]All!$V239=0,"",[1]All!$V239)</f>
        <v>0000001275</v>
      </c>
      <c r="Q238" s="3" t="str">
        <f t="shared" si="23"/>
        <v>$12.75</v>
      </c>
      <c r="R238" s="8" t="str">
        <f>IF([1]All!$F239=0,"",[1]All!$F239)</f>
        <v>DBM 216153</v>
      </c>
    </row>
    <row r="239" spans="1:18">
      <c r="A239" s="7"/>
      <c r="B239" s="3">
        <f t="shared" si="18"/>
        <v>70</v>
      </c>
      <c r="C239" s="3" t="str">
        <f t="shared" si="19"/>
        <v>F</v>
      </c>
      <c r="D239" s="9" t="str">
        <f t="shared" si="20"/>
        <v>MIL-001-1554</v>
      </c>
      <c r="E239" s="3" t="str">
        <f t="shared" si="21"/>
        <v>BJHL  MIL-001-1554</v>
      </c>
      <c r="F239" s="10" t="str">
        <f t="shared" si="22"/>
        <v>PCCN: CRGARM:-:PLISN: BJHL :-:PCC: TIT :-: CAGE: 0UJB5:-:PART NUMBER: MIL-001-1554:-:NOMENCLATURE: O-RING:-:PRICE: $0.39:-:UNIQUE MODS: NO:-:PROPRIETARILY MFG FOR OEM: NO:-: :-: :-: :-: :-: NHA: MIL-001-208 :-: NHA NSN: 3040015668024</v>
      </c>
      <c r="G239" s="8" t="str">
        <f>IF([1]All!$B240="","",[1]All!$B240)</f>
        <v xml:space="preserve">BJHL </v>
      </c>
      <c r="H239" s="8"/>
      <c r="I239" s="8" t="str">
        <f>IF([1]All!$D240=0,"",[1]All!$D240)</f>
        <v>F</v>
      </c>
      <c r="J239" s="8" t="str">
        <f>IF([1]All!$E240=0,"",[1]All!$E240)</f>
        <v>0UJB5</v>
      </c>
      <c r="K239" s="8" t="s">
        <v>172</v>
      </c>
      <c r="L239" s="11" t="str">
        <f>IF([1]All!$L240=0,"",[1]All!$L240)</f>
        <v>O-RING</v>
      </c>
      <c r="M239" s="7" t="str">
        <f>IF([1]All!$AJ240=0,"",[1]All!$AJ240)</f>
        <v xml:space="preserve">BHGA </v>
      </c>
      <c r="N239" s="7" t="str">
        <f>IF([1]All!$R240=0,"",[1]All!$R240)</f>
        <v/>
      </c>
      <c r="O239" s="7" t="str">
        <f>IF([1]All!$S240=0,"",[1]All!$S240)</f>
        <v/>
      </c>
      <c r="P239" s="7" t="str">
        <f>IF([1]All!$V240=0,"",[1]All!$V240)</f>
        <v>0000000039</v>
      </c>
      <c r="Q239" s="3" t="str">
        <f t="shared" si="23"/>
        <v>$0.39</v>
      </c>
      <c r="R239" s="8" t="str">
        <f>IF([1]All!$F240=0,"",[1]All!$F240)</f>
        <v>MIL-001-1554</v>
      </c>
    </row>
    <row r="240" spans="1:18">
      <c r="A240" s="7"/>
      <c r="B240" s="3">
        <f t="shared" si="18"/>
        <v>70</v>
      </c>
      <c r="C240" s="3" t="str">
        <f t="shared" si="19"/>
        <v>F</v>
      </c>
      <c r="D240" s="9" t="str">
        <f t="shared" si="20"/>
        <v>MIL-001-1555</v>
      </c>
      <c r="E240" s="3" t="str">
        <f t="shared" si="21"/>
        <v>BJPG  MIL-001-1555</v>
      </c>
      <c r="F240" s="10" t="str">
        <f t="shared" si="22"/>
        <v>PCCN: CRGARM:-:PLISN: BJPG :-:PCC: TIT :-: CAGE: 0UJB5:-:PART NUMBER: MIL-001-1555:-:NOMENCLATURE: O-RING:-:PRICE: $0.39:-:UNIQUE MODS: NO:-:PROPRIETARILY MFG FOR OEM: NO:-: :-: :-: :-: :-: NHA: MIL-001-208 :-: NHA NSN: 3040015668024</v>
      </c>
      <c r="G240" s="8" t="str">
        <f>IF([1]All!$B241="","",[1]All!$B241)</f>
        <v xml:space="preserve">BJPG </v>
      </c>
      <c r="H240" s="8"/>
      <c r="I240" s="8" t="str">
        <f>IF([1]All!$D241=0,"",[1]All!$D241)</f>
        <v>F</v>
      </c>
      <c r="J240" s="8" t="str">
        <f>IF([1]All!$E241=0,"",[1]All!$E241)</f>
        <v>0UJB5</v>
      </c>
      <c r="K240" s="8" t="s">
        <v>173</v>
      </c>
      <c r="L240" s="11" t="str">
        <f>IF([1]All!$L241=0,"",[1]All!$L241)</f>
        <v>O-RING</v>
      </c>
      <c r="M240" s="7" t="str">
        <f>IF([1]All!$AJ241=0,"",[1]All!$AJ241)</f>
        <v xml:space="preserve">BHGA </v>
      </c>
      <c r="N240" s="7" t="str">
        <f>IF([1]All!$R241=0,"",[1]All!$R241)</f>
        <v/>
      </c>
      <c r="O240" s="7" t="str">
        <f>IF([1]All!$S241=0,"",[1]All!$S241)</f>
        <v/>
      </c>
      <c r="P240" s="7" t="str">
        <f>IF([1]All!$V241=0,"",[1]All!$V241)</f>
        <v>0000000039</v>
      </c>
      <c r="Q240" s="3" t="str">
        <f t="shared" si="23"/>
        <v>$0.39</v>
      </c>
      <c r="R240" s="8" t="str">
        <f>IF([1]All!$F241=0,"",[1]All!$F241)</f>
        <v>MIL-001-1555</v>
      </c>
    </row>
    <row r="241" spans="1:18">
      <c r="A241" s="7"/>
      <c r="B241" s="3">
        <f t="shared" si="18"/>
        <v>70</v>
      </c>
      <c r="C241" s="3" t="str">
        <f t="shared" si="19"/>
        <v>F</v>
      </c>
      <c r="D241" s="9" t="str">
        <f t="shared" si="20"/>
        <v>MIL-001-1556</v>
      </c>
      <c r="E241" s="3" t="str">
        <f t="shared" si="21"/>
        <v>BJVC  MIL-001-1556</v>
      </c>
      <c r="F241" s="10" t="str">
        <f t="shared" si="22"/>
        <v>PCCN: CRGARM:-:PLISN: BJVC :-:PCC: TIT :-: CAGE: 0UJB5:-:PART NUMBER: MIL-001-1556:-:NOMENCLATURE: RING, SPLIT:-:PRICE: $6.09:-:UNIQUE MODS: NO:-:PROPRIETARILY MFG FOR OEM: NO:-: :-: :-: :-: :-: NHA: MIL-001-208 :-: NHA NSN: 3040015668024</v>
      </c>
      <c r="G241" s="8" t="str">
        <f>IF([1]All!$B242="","",[1]All!$B242)</f>
        <v xml:space="preserve">BJVC </v>
      </c>
      <c r="H241" s="8"/>
      <c r="I241" s="8" t="str">
        <f>IF([1]All!$D242=0,"",[1]All!$D242)</f>
        <v>F</v>
      </c>
      <c r="J241" s="8" t="str">
        <f>IF([1]All!$E242=0,"",[1]All!$E242)</f>
        <v>0UJB5</v>
      </c>
      <c r="K241" s="8" t="s">
        <v>174</v>
      </c>
      <c r="L241" s="11" t="str">
        <f>IF([1]All!$L242=0,"",[1]All!$L242)</f>
        <v>RING, SPLIT</v>
      </c>
      <c r="M241" s="7" t="str">
        <f>IF([1]All!$AJ242=0,"",[1]All!$AJ242)</f>
        <v xml:space="preserve">BHGA </v>
      </c>
      <c r="N241" s="7" t="str">
        <f>IF([1]All!$R242=0,"",[1]All!$R242)</f>
        <v/>
      </c>
      <c r="O241" s="7" t="str">
        <f>IF([1]All!$S242=0,"",[1]All!$S242)</f>
        <v/>
      </c>
      <c r="P241" s="7" t="str">
        <f>IF([1]All!$V242=0,"",[1]All!$V242)</f>
        <v>0000000609</v>
      </c>
      <c r="Q241" s="3" t="str">
        <f t="shared" si="23"/>
        <v>$6.09</v>
      </c>
      <c r="R241" s="8" t="str">
        <f>IF([1]All!$F242=0,"",[1]All!$F242)</f>
        <v>MIL-001-1556</v>
      </c>
    </row>
    <row r="242" spans="1:18">
      <c r="A242" s="7"/>
      <c r="B242" s="3">
        <f t="shared" si="18"/>
        <v>70</v>
      </c>
      <c r="C242" s="3" t="str">
        <f t="shared" si="19"/>
        <v>F</v>
      </c>
      <c r="D242" s="9" t="str">
        <f t="shared" si="20"/>
        <v>MIL-001-1557</v>
      </c>
      <c r="E242" s="3" t="str">
        <f t="shared" si="21"/>
        <v>BJ08  MIL-001-1557</v>
      </c>
      <c r="F242" s="10" t="str">
        <f t="shared" si="22"/>
        <v>PCCN: CRGARM:-:PLISN: BJ08 :-:PCC: TIT :-: CAGE: 0UJB5:-:PART NUMBER: MIL-001-1557:-:NOMENCLATURE: O-RING:-:PRICE: $0.39:-:UNIQUE MODS: NO:-:PROPRIETARILY MFG FOR OEM: NO:-: :-: :-: :-: :-: NHA: MIL-001-208 :-: NHA NSN: 3040015668024</v>
      </c>
      <c r="G242" s="8" t="str">
        <f>IF([1]All!$B243="","",[1]All!$B243)</f>
        <v xml:space="preserve">BJ08 </v>
      </c>
      <c r="H242" s="8"/>
      <c r="I242" s="8" t="str">
        <f>IF([1]All!$D243=0,"",[1]All!$D243)</f>
        <v>F</v>
      </c>
      <c r="J242" s="8" t="str">
        <f>IF([1]All!$E243=0,"",[1]All!$E243)</f>
        <v>0UJB5</v>
      </c>
      <c r="K242" s="8" t="s">
        <v>175</v>
      </c>
      <c r="L242" s="11" t="str">
        <f>IF([1]All!$L243=0,"",[1]All!$L243)</f>
        <v>O-RING</v>
      </c>
      <c r="M242" s="7" t="str">
        <f>IF([1]All!$AJ243=0,"",[1]All!$AJ243)</f>
        <v xml:space="preserve">BHGA </v>
      </c>
      <c r="N242" s="7" t="str">
        <f>IF([1]All!$R243=0,"",[1]All!$R243)</f>
        <v/>
      </c>
      <c r="O242" s="7" t="str">
        <f>IF([1]All!$S243=0,"",[1]All!$S243)</f>
        <v/>
      </c>
      <c r="P242" s="7" t="str">
        <f>IF([1]All!$V243=0,"",[1]All!$V243)</f>
        <v>0000000039</v>
      </c>
      <c r="Q242" s="3" t="str">
        <f t="shared" si="23"/>
        <v>$0.39</v>
      </c>
      <c r="R242" s="8" t="str">
        <f>IF([1]All!$F243=0,"",[1]All!$F243)</f>
        <v>MIL-001-1557</v>
      </c>
    </row>
    <row r="243" spans="1:18">
      <c r="A243" s="7"/>
      <c r="B243" s="3">
        <f t="shared" si="18"/>
        <v>70</v>
      </c>
      <c r="C243" s="3" t="str">
        <f t="shared" si="19"/>
        <v>F</v>
      </c>
      <c r="D243" s="9" t="str">
        <f t="shared" si="20"/>
        <v>MIL-001-1558</v>
      </c>
      <c r="E243" s="3" t="str">
        <f t="shared" si="21"/>
        <v>BJ64  MIL-001-1558</v>
      </c>
      <c r="F243" s="10" t="str">
        <f t="shared" si="22"/>
        <v>PCCN: CRGARM:-:PLISN: BJ64 :-:PCC: TIT :-: CAGE: 0UJB5:-:PART NUMBER: MIL-001-1558:-:NOMENCLATURE: SEAL:-:PRICE: $12.75:-:UNIQUE MODS: NO:-:PROPRIETARILY MFG FOR OEM: NO:-: :-: :-: :-: :-: NHA: MIL-001-208 :-: NHA NSN: 3040015668024</v>
      </c>
      <c r="G243" s="8" t="str">
        <f>IF([1]All!$B244="","",[1]All!$B244)</f>
        <v xml:space="preserve">BJ64 </v>
      </c>
      <c r="H243" s="8"/>
      <c r="I243" s="8" t="str">
        <f>IF([1]All!$D244=0,"",[1]All!$D244)</f>
        <v>F</v>
      </c>
      <c r="J243" s="8" t="str">
        <f>IF([1]All!$E244=0,"",[1]All!$E244)</f>
        <v>0UJB5</v>
      </c>
      <c r="K243" s="8" t="s">
        <v>176</v>
      </c>
      <c r="L243" s="11" t="str">
        <f>IF([1]All!$L244=0,"",[1]All!$L244)</f>
        <v>SEAL</v>
      </c>
      <c r="M243" s="7" t="str">
        <f>IF([1]All!$AJ244=0,"",[1]All!$AJ244)</f>
        <v xml:space="preserve">BHGA </v>
      </c>
      <c r="N243" s="7" t="str">
        <f>IF([1]All!$R244=0,"",[1]All!$R244)</f>
        <v/>
      </c>
      <c r="O243" s="7" t="str">
        <f>IF([1]All!$S244=0,"",[1]All!$S244)</f>
        <v/>
      </c>
      <c r="P243" s="7" t="str">
        <f>IF([1]All!$V244=0,"",[1]All!$V244)</f>
        <v>0000001275</v>
      </c>
      <c r="Q243" s="3" t="str">
        <f t="shared" si="23"/>
        <v>$12.75</v>
      </c>
      <c r="R243" s="8" t="str">
        <f>IF([1]All!$F244=0,"",[1]All!$F244)</f>
        <v>MIL-001-1558</v>
      </c>
    </row>
    <row r="244" spans="1:18">
      <c r="A244" s="7"/>
      <c r="B244" s="3">
        <f t="shared" si="18"/>
        <v>70</v>
      </c>
      <c r="C244" s="3" t="str">
        <f t="shared" si="19"/>
        <v>F</v>
      </c>
      <c r="D244" s="9" t="str">
        <f t="shared" si="20"/>
        <v>MIL-001-1559</v>
      </c>
      <c r="E244" s="3" t="str">
        <f t="shared" si="21"/>
        <v>BKC0  MIL-001-1559</v>
      </c>
      <c r="F244" s="10" t="str">
        <f t="shared" si="22"/>
        <v>PCCN: CRGARM:-:PLISN: BKC0 :-:PCC: TIT :-: CAGE: 0UJB5:-:PART NUMBER: MIL-001-1559:-:NOMENCLATURE: DUST COVER:-:PRICE: $41.60:-:UNIQUE MODS: NO:-:PROPRIETARILY MFG FOR OEM: NO:-: :-: :-: :-: :-: NHA: MIL-001-208 :-: NHA NSN: 3040015668024</v>
      </c>
      <c r="G244" s="8" t="str">
        <f>IF([1]All!$B245="","",[1]All!$B245)</f>
        <v xml:space="preserve">BKC0 </v>
      </c>
      <c r="H244" s="8"/>
      <c r="I244" s="8" t="str">
        <f>IF([1]All!$D245=0,"",[1]All!$D245)</f>
        <v>F</v>
      </c>
      <c r="J244" s="8" t="str">
        <f>IF([1]All!$E245=0,"",[1]All!$E245)</f>
        <v>0UJB5</v>
      </c>
      <c r="K244" s="8" t="s">
        <v>177</v>
      </c>
      <c r="L244" s="11" t="str">
        <f>IF([1]All!$L245=0,"",[1]All!$L245)</f>
        <v>DUST COVER</v>
      </c>
      <c r="M244" s="7" t="str">
        <f>IF([1]All!$AJ245=0,"",[1]All!$AJ245)</f>
        <v xml:space="preserve">BHGA </v>
      </c>
      <c r="N244" s="7" t="str">
        <f>IF([1]All!$R245=0,"",[1]All!$R245)</f>
        <v/>
      </c>
      <c r="O244" s="7" t="str">
        <f>IF([1]All!$S245=0,"",[1]All!$S245)</f>
        <v/>
      </c>
      <c r="P244" s="7" t="str">
        <f>IF([1]All!$V245=0,"",[1]All!$V245)</f>
        <v>0000004160</v>
      </c>
      <c r="Q244" s="3" t="str">
        <f t="shared" si="23"/>
        <v>$41.60</v>
      </c>
      <c r="R244" s="8" t="str">
        <f>IF([1]All!$F245=0,"",[1]All!$F245)</f>
        <v>MIL-001-1559</v>
      </c>
    </row>
    <row r="245" spans="1:18">
      <c r="A245" s="7"/>
      <c r="B245" s="3">
        <f t="shared" si="18"/>
        <v>69</v>
      </c>
      <c r="C245" s="3" t="str">
        <f t="shared" si="19"/>
        <v>E</v>
      </c>
      <c r="D245" s="9" t="str">
        <f t="shared" si="20"/>
        <v>MIL-001-425</v>
      </c>
      <c r="E245" s="3" t="str">
        <f t="shared" si="21"/>
        <v>BKJW  MIL-001-425</v>
      </c>
      <c r="F245" s="10" t="str">
        <f t="shared" si="22"/>
        <v>PCCN: CRGARM:-:PLISN: BKJW :-:PCC: TIT :-: CAGE: 0UJB5:-:PART NUMBER: MIL-001-425:-:NOMENCLATURE: TUBE ASSEMBLY,METAL:-:PRICE: $34.87:-:UNIQUE MODS: NO:-:PROPRIETARILY MFG FOR OEM: NO:-: :-: :-: :-:NSN: 4710015664391 :-: NHA: MIL-001-130</v>
      </c>
      <c r="G245" s="8" t="str">
        <f>IF([1]All!$B246="","",[1]All!$B246)</f>
        <v xml:space="preserve">BKJW </v>
      </c>
      <c r="H245" s="8"/>
      <c r="I245" s="8" t="str">
        <f>IF([1]All!$D246=0,"",[1]All!$D246)</f>
        <v>E</v>
      </c>
      <c r="J245" s="8" t="str">
        <f>IF([1]All!$E246=0,"",[1]All!$E246)</f>
        <v>0UJB5</v>
      </c>
      <c r="K245" s="8" t="s">
        <v>188</v>
      </c>
      <c r="L245" s="11" t="str">
        <f>IF([1]All!$L246=0,"",[1]All!$L246)</f>
        <v>TUBE ASSEMBLY,METAL</v>
      </c>
      <c r="M245" s="7" t="str">
        <f>IF([1]All!$AJ246=0,"",[1]All!$AJ246)</f>
        <v xml:space="preserve">BHAE </v>
      </c>
      <c r="N245" s="7" t="str">
        <f>IF([1]All!$R246=0,"",[1]All!$R246)</f>
        <v>4710</v>
      </c>
      <c r="O245" s="7" t="str">
        <f>IF([1]All!$S246=0,"",[1]All!$S246)</f>
        <v>015664391</v>
      </c>
      <c r="P245" s="7" t="str">
        <f>IF([1]All!$V246=0,"",[1]All!$V246)</f>
        <v>0000003487</v>
      </c>
      <c r="Q245" s="3" t="str">
        <f t="shared" si="23"/>
        <v>$34.87</v>
      </c>
      <c r="R245" s="8" t="str">
        <f>IF([1]All!$F246=0,"",[1]All!$F246)</f>
        <v>MIL-001-425</v>
      </c>
    </row>
    <row r="246" spans="1:18">
      <c r="A246" s="7"/>
      <c r="B246" s="3">
        <f t="shared" si="18"/>
        <v>69</v>
      </c>
      <c r="C246" s="3" t="str">
        <f t="shared" si="19"/>
        <v>E</v>
      </c>
      <c r="D246" s="9" t="str">
        <f t="shared" si="20"/>
        <v>MIL-001-426</v>
      </c>
      <c r="E246" s="3" t="str">
        <f t="shared" si="21"/>
        <v>BKQS  MIL-001-426</v>
      </c>
      <c r="F246" s="10" t="str">
        <f t="shared" si="22"/>
        <v>PCCN: CRGARM:-:PLISN: BKQS :-:PCC: TIT :-: CAGE: 0UJB5:-:PART NUMBER: MIL-001-426:-:NOMENCLATURE: VALVE ASSEMBLY,MANI:-:PRICE: $294.98:-:UNIQUE MODS: NO:-:PROPRIETARILY MFG FOR OEM: NO:-: :-: :-: :-:NSN: 4820015660759 :-: NHA: MIL-001-130</v>
      </c>
      <c r="G246" s="8" t="str">
        <f>IF([1]All!$B247="","",[1]All!$B247)</f>
        <v xml:space="preserve">BKQS </v>
      </c>
      <c r="H246" s="8"/>
      <c r="I246" s="8" t="str">
        <f>IF([1]All!$D247=0,"",[1]All!$D247)</f>
        <v>E</v>
      </c>
      <c r="J246" s="8" t="str">
        <f>IF([1]All!$E247=0,"",[1]All!$E247)</f>
        <v>0UJB5</v>
      </c>
      <c r="K246" s="8" t="s">
        <v>189</v>
      </c>
      <c r="L246" s="11" t="str">
        <f>IF([1]All!$L247=0,"",[1]All!$L247)</f>
        <v>VALVE ASSEMBLY,MANI</v>
      </c>
      <c r="M246" s="7" t="str">
        <f>IF([1]All!$AJ247=0,"",[1]All!$AJ247)</f>
        <v xml:space="preserve">BHAE </v>
      </c>
      <c r="N246" s="7" t="str">
        <f>IF([1]All!$R247=0,"",[1]All!$R247)</f>
        <v>4820</v>
      </c>
      <c r="O246" s="7" t="str">
        <f>IF([1]All!$S247=0,"",[1]All!$S247)</f>
        <v>015660759</v>
      </c>
      <c r="P246" s="7" t="str">
        <f>IF([1]All!$V247=0,"",[1]All!$V247)</f>
        <v>0000029498</v>
      </c>
      <c r="Q246" s="3" t="str">
        <f t="shared" si="23"/>
        <v>$294.98</v>
      </c>
      <c r="R246" s="8" t="str">
        <f>IF([1]All!$F247=0,"",[1]All!$F247)</f>
        <v>MIL-001-426</v>
      </c>
    </row>
    <row r="247" spans="1:18">
      <c r="A247" s="7"/>
      <c r="B247" s="3">
        <f t="shared" si="18"/>
        <v>69</v>
      </c>
      <c r="C247" s="3" t="str">
        <f t="shared" si="19"/>
        <v>E</v>
      </c>
      <c r="D247" s="9" t="str">
        <f t="shared" si="20"/>
        <v>6EMTXS</v>
      </c>
      <c r="E247" s="3" t="str">
        <f t="shared" si="21"/>
        <v>BKWN  6EMTXS</v>
      </c>
      <c r="F247" s="10" t="str">
        <f t="shared" si="22"/>
        <v>PCCN: CRGARM:-:PLISN: BKWN :-:PCC: TIT :-: CAGE: 45681:-:PART NUMBER: 6EMTXS:-:NOMENCLATURE: ELBOW,TUBE:-:PRICE: $14.79:-:UNIQUE MODS: NO:-:PROPRIETARILY MFG FOR OEM: NO:-: :-: :-: :-:NSN: 4730016005351 :-: NHA: MIL-001-130</v>
      </c>
      <c r="G247" s="8" t="str">
        <f>IF([1]All!$B248="","",[1]All!$B248)</f>
        <v xml:space="preserve">BKWN </v>
      </c>
      <c r="H247" s="8"/>
      <c r="I247" s="8" t="str">
        <f>IF([1]All!$D248=0,"",[1]All!$D248)</f>
        <v>E</v>
      </c>
      <c r="J247" s="8" t="str">
        <f>IF([1]All!$E248=0,"",[1]All!$E248)</f>
        <v>45681</v>
      </c>
      <c r="K247" s="8" t="s">
        <v>178</v>
      </c>
      <c r="L247" s="11" t="str">
        <f>IF([1]All!$L248=0,"",[1]All!$L248)</f>
        <v>ELBOW,TUBE</v>
      </c>
      <c r="M247" s="7" t="str">
        <f>IF([1]All!$AJ248=0,"",[1]All!$AJ248)</f>
        <v xml:space="preserve">BHAE </v>
      </c>
      <c r="N247" s="7" t="str">
        <f>IF([1]All!$R248=0,"",[1]All!$R248)</f>
        <v>4730</v>
      </c>
      <c r="O247" s="7" t="str">
        <f>IF([1]All!$S248=0,"",[1]All!$S248)</f>
        <v>016005351</v>
      </c>
      <c r="P247" s="7" t="str">
        <f>IF([1]All!$V248=0,"",[1]All!$V248)</f>
        <v>0000001479</v>
      </c>
      <c r="Q247" s="3" t="str">
        <f t="shared" si="23"/>
        <v>$14.79</v>
      </c>
      <c r="R247" s="8" t="str">
        <f>IF([1]All!$F248=0,"",[1]All!$F248)</f>
        <v>6EMTXS</v>
      </c>
    </row>
    <row r="248" spans="1:18">
      <c r="A248" s="7"/>
      <c r="B248" s="3">
        <f t="shared" si="18"/>
        <v>68</v>
      </c>
      <c r="C248" s="3" t="str">
        <f t="shared" si="19"/>
        <v>D</v>
      </c>
      <c r="D248" s="9" t="str">
        <f t="shared" si="20"/>
        <v>MIL-001-378</v>
      </c>
      <c r="E248" s="3" t="str">
        <f t="shared" si="21"/>
        <v>BK2J  MIL-001-378</v>
      </c>
      <c r="F248" s="10" t="str">
        <f t="shared" si="22"/>
        <v>PCCN: CRGARM:-:PLISN: BK2J :-:PCC: TIT :-: CAGE: 0UJB5:-:PART NUMBER: MIL-001-378:-:NOMENCLATURE: HOSE ASSEMBLY,NONME:-:PRICE: $80.54:-:UNIQUE MODS: NO:-:PROPRIETARILY MFG FOR OEM: NO:-: :-: :-: :-:NSN: 4720015664478 :-: NHA: MIL-001-047</v>
      </c>
      <c r="G248" s="8" t="str">
        <f>IF([1]All!$B249="","",[1]All!$B249)</f>
        <v xml:space="preserve">BK2J </v>
      </c>
      <c r="H248" s="8"/>
      <c r="I248" s="8" t="str">
        <f>IF([1]All!$D249=0,"",[1]All!$D249)</f>
        <v>D</v>
      </c>
      <c r="J248" s="8" t="str">
        <f>IF([1]All!$E249=0,"",[1]All!$E249)</f>
        <v>0UJB5</v>
      </c>
      <c r="K248" s="8" t="s">
        <v>190</v>
      </c>
      <c r="L248" s="11" t="str">
        <f>IF([1]All!$L249=0,"",[1]All!$L249)</f>
        <v>HOSE ASSEMBLY,NONME</v>
      </c>
      <c r="M248" s="7" t="str">
        <f>IF([1]All!$AJ249=0,"",[1]All!$AJ249)</f>
        <v xml:space="preserve">BCTG </v>
      </c>
      <c r="N248" s="7" t="str">
        <f>IF([1]All!$R249=0,"",[1]All!$R249)</f>
        <v>4720</v>
      </c>
      <c r="O248" s="7" t="str">
        <f>IF([1]All!$S249=0,"",[1]All!$S249)</f>
        <v>015664478</v>
      </c>
      <c r="P248" s="7" t="str">
        <f>IF([1]All!$V249=0,"",[1]All!$V249)</f>
        <v>0000008054</v>
      </c>
      <c r="Q248" s="3" t="str">
        <f t="shared" si="23"/>
        <v>$80.54</v>
      </c>
      <c r="R248" s="8" t="str">
        <f>IF([1]All!$F249=0,"",[1]All!$F249)</f>
        <v>MIL-001-378</v>
      </c>
    </row>
    <row r="249" spans="1:18">
      <c r="A249" s="7"/>
      <c r="B249" s="3">
        <f t="shared" si="18"/>
        <v>68</v>
      </c>
      <c r="C249" s="3" t="str">
        <f t="shared" si="19"/>
        <v>D</v>
      </c>
      <c r="D249" s="9" t="str">
        <f t="shared" si="20"/>
        <v>MIL-001-379</v>
      </c>
      <c r="E249" s="3" t="str">
        <f t="shared" si="21"/>
        <v>BK8E  MIL-001-379</v>
      </c>
      <c r="F249" s="10" t="str">
        <f t="shared" si="22"/>
        <v>PCCN: CRGARM:-:PLISN: BK8E :-:PCC: TIT :-: CAGE: 0UJB5:-:PART NUMBER: MIL-001-379:-:NOMENCLATURE: HOSE ASSEMBLY,NONME:-:PRICE: $98.62:-:UNIQUE MODS: NO:-:PROPRIETARILY MFG FOR OEM: NO:-: :-: :-: :-:NSN: 4720015660674 :-: NHA: MIL-001-047</v>
      </c>
      <c r="G249" s="8" t="str">
        <f>IF([1]All!$B250="","",[1]All!$B250)</f>
        <v xml:space="preserve">BK8E </v>
      </c>
      <c r="H249" s="8"/>
      <c r="I249" s="8" t="str">
        <f>IF([1]All!$D250=0,"",[1]All!$D250)</f>
        <v>D</v>
      </c>
      <c r="J249" s="8" t="str">
        <f>IF([1]All!$E250=0,"",[1]All!$E250)</f>
        <v>0UJB5</v>
      </c>
      <c r="K249" s="8" t="s">
        <v>191</v>
      </c>
      <c r="L249" s="11" t="str">
        <f>IF([1]All!$L250=0,"",[1]All!$L250)</f>
        <v>HOSE ASSEMBLY,NONME</v>
      </c>
      <c r="M249" s="7" t="str">
        <f>IF([1]All!$AJ250=0,"",[1]All!$AJ250)</f>
        <v xml:space="preserve">BCTG </v>
      </c>
      <c r="N249" s="7" t="str">
        <f>IF([1]All!$R250=0,"",[1]All!$R250)</f>
        <v>4720</v>
      </c>
      <c r="O249" s="7" t="str">
        <f>IF([1]All!$S250=0,"",[1]All!$S250)</f>
        <v>015660674</v>
      </c>
      <c r="P249" s="7" t="str">
        <f>IF([1]All!$V250=0,"",[1]All!$V250)</f>
        <v>0000009862</v>
      </c>
      <c r="Q249" s="3" t="str">
        <f t="shared" si="23"/>
        <v>$98.62</v>
      </c>
      <c r="R249" s="8" t="str">
        <f>IF([1]All!$F250=0,"",[1]All!$F250)</f>
        <v>MIL-001-379</v>
      </c>
    </row>
    <row r="250" spans="1:18">
      <c r="A250" s="7"/>
      <c r="B250" s="3">
        <f t="shared" si="18"/>
        <v>68</v>
      </c>
      <c r="C250" s="3" t="str">
        <f t="shared" si="19"/>
        <v>D</v>
      </c>
      <c r="D250" s="9" t="str">
        <f t="shared" si="20"/>
        <v>MIL-001-222</v>
      </c>
      <c r="E250" s="3" t="str">
        <f t="shared" si="21"/>
        <v>BLEA  MIL-001-222</v>
      </c>
      <c r="F250" s="10" t="str">
        <f t="shared" si="22"/>
        <v>PCCN: CRGARM:-:PLISN: BLEA :-:PCC: TIT :-: CAGE: 0UJB5:-:PART NUMBER: MIL-001-222:-:NOMENCLATURE: SADDLE,HOSE:-:PRICE: $18.31:-:UNIQUE MODS: NO:-:PROPRIETARILY MFG FOR OEM: NO:-: :-: :-: :-:NSN: 4730015662465 :-: NHA: MIL-001-047</v>
      </c>
      <c r="G250" s="8" t="str">
        <f>IF([1]All!$B251="","",[1]All!$B251)</f>
        <v xml:space="preserve">BLEA </v>
      </c>
      <c r="H250" s="8"/>
      <c r="I250" s="8" t="str">
        <f>IF([1]All!$D251=0,"",[1]All!$D251)</f>
        <v>D</v>
      </c>
      <c r="J250" s="8" t="str">
        <f>IF([1]All!$E251=0,"",[1]All!$E251)</f>
        <v>0UJB5</v>
      </c>
      <c r="K250" s="8" t="s">
        <v>192</v>
      </c>
      <c r="L250" s="11" t="str">
        <f>IF([1]All!$L251=0,"",[1]All!$L251)</f>
        <v>SADDLE,HOSE</v>
      </c>
      <c r="M250" s="7" t="str">
        <f>IF([1]All!$AJ251=0,"",[1]All!$AJ251)</f>
        <v xml:space="preserve">BCTG </v>
      </c>
      <c r="N250" s="7" t="str">
        <f>IF([1]All!$R251=0,"",[1]All!$R251)</f>
        <v>4730</v>
      </c>
      <c r="O250" s="7" t="str">
        <f>IF([1]All!$S251=0,"",[1]All!$S251)</f>
        <v>015662465</v>
      </c>
      <c r="P250" s="7" t="str">
        <f>IF([1]All!$V251=0,"",[1]All!$V251)</f>
        <v>0000001831</v>
      </c>
      <c r="Q250" s="3" t="str">
        <f t="shared" si="23"/>
        <v>$18.31</v>
      </c>
      <c r="R250" s="8" t="str">
        <f>IF([1]All!$F251=0,"",[1]All!$F251)</f>
        <v>MIL-001-222</v>
      </c>
    </row>
    <row r="251" spans="1:18">
      <c r="A251" s="7"/>
      <c r="B251" s="3">
        <f t="shared" si="18"/>
        <v>68</v>
      </c>
      <c r="C251" s="3" t="str">
        <f t="shared" si="19"/>
        <v>D</v>
      </c>
      <c r="D251" s="9" t="str">
        <f t="shared" si="20"/>
        <v>1105K71</v>
      </c>
      <c r="E251" s="3" t="str">
        <f t="shared" si="21"/>
        <v>BLK6  1105K71</v>
      </c>
      <c r="F251" s="10" t="str">
        <f t="shared" si="22"/>
        <v>PCCN: CRGARM:-:PLISN: BLK6 :-:PCC: TIT :-: CAGE: 39428:-:PART NUMBER: 1105K71:-:NOMENCLATURE: FITTING,LUBRICATION:-:PRICE: $4.00:-:UNIQUE MODS: NO:-:PROPRIETARILY MFG FOR OEM: NO:-: :-: :-: :-:NSN: 4730015333809 :-: NHA: MIL-001-047</v>
      </c>
      <c r="G251" s="8" t="str">
        <f>IF([1]All!$B252="","",[1]All!$B252)</f>
        <v xml:space="preserve">BLK6 </v>
      </c>
      <c r="H251" s="8"/>
      <c r="I251" s="8" t="str">
        <f>IF([1]All!$D252=0,"",[1]All!$D252)</f>
        <v>D</v>
      </c>
      <c r="J251" s="8" t="str">
        <f>IF([1]All!$E252=0,"",[1]All!$E252)</f>
        <v>39428</v>
      </c>
      <c r="K251" s="8" t="s">
        <v>193</v>
      </c>
      <c r="L251" s="11" t="str">
        <f>IF([1]All!$L252=0,"",[1]All!$L252)</f>
        <v>FITTING,LUBRICATION</v>
      </c>
      <c r="M251" s="7" t="str">
        <f>IF([1]All!$AJ252=0,"",[1]All!$AJ252)</f>
        <v xml:space="preserve">BCTG </v>
      </c>
      <c r="N251" s="7" t="str">
        <f>IF([1]All!$R252=0,"",[1]All!$R252)</f>
        <v>4730</v>
      </c>
      <c r="O251" s="7" t="str">
        <f>IF([1]All!$S252=0,"",[1]All!$S252)</f>
        <v>015333809</v>
      </c>
      <c r="P251" s="7" t="str">
        <f>IF([1]All!$V252=0,"",[1]All!$V252)</f>
        <v>0000000400</v>
      </c>
      <c r="Q251" s="3" t="str">
        <f t="shared" si="23"/>
        <v>$4.00</v>
      </c>
      <c r="R251" s="8" t="str">
        <f>IF([1]All!$F252=0,"",[1]All!$F252)</f>
        <v>1105K71</v>
      </c>
    </row>
    <row r="252" spans="1:18">
      <c r="A252" s="7"/>
      <c r="B252" s="3">
        <f t="shared" si="18"/>
        <v>68</v>
      </c>
      <c r="C252" s="3" t="str">
        <f t="shared" si="19"/>
        <v>D</v>
      </c>
      <c r="D252" s="9" t="str">
        <f t="shared" si="20"/>
        <v>MIL-001-799</v>
      </c>
      <c r="E252" s="3" t="str">
        <f t="shared" si="21"/>
        <v>BLR2  MIL-001-799</v>
      </c>
      <c r="F252" s="10" t="str">
        <f t="shared" si="22"/>
        <v>PCCN: CRGARM:-:PLISN: BLR2 :-:PCC: TIT :-: CAGE: 0UJB5:-:PART NUMBER: MIL-001-799:-:NOMENCLATURE: HOSE,NONMETALLIC:-:PRICE: $2.94:-:UNIQUE MODS: NO:-:PROPRIETARILY MFG FOR OEM: NO:-: :-: :-: :-: :-: NHA: MIL-001-047</v>
      </c>
      <c r="G252" s="8" t="str">
        <f>IF([1]All!$B253="","",[1]All!$B253)</f>
        <v xml:space="preserve">BLR2 </v>
      </c>
      <c r="H252" s="8"/>
      <c r="I252" s="8" t="str">
        <f>IF([1]All!$D253=0,"",[1]All!$D253)</f>
        <v>D</v>
      </c>
      <c r="J252" s="8" t="str">
        <f>IF([1]All!$E253=0,"",[1]All!$E253)</f>
        <v>0UJB5</v>
      </c>
      <c r="K252" s="8" t="s">
        <v>194</v>
      </c>
      <c r="L252" s="11" t="str">
        <f>IF([1]All!$L253=0,"",[1]All!$L253)</f>
        <v>HOSE,NONMETALLIC</v>
      </c>
      <c r="M252" s="7" t="str">
        <f>IF([1]All!$AJ253=0,"",[1]All!$AJ253)</f>
        <v xml:space="preserve">BCTG </v>
      </c>
      <c r="N252" s="7" t="str">
        <f>IF([1]All!$R253=0,"",[1]All!$R253)</f>
        <v/>
      </c>
      <c r="O252" s="7" t="str">
        <f>IF([1]All!$S253=0,"",[1]All!$S253)</f>
        <v/>
      </c>
      <c r="P252" s="7" t="str">
        <f>IF([1]All!$V253=0,"",[1]All!$V253)</f>
        <v>0000000294</v>
      </c>
      <c r="Q252" s="3" t="str">
        <f t="shared" si="23"/>
        <v>$2.94</v>
      </c>
      <c r="R252" s="8" t="str">
        <f>IF([1]All!$F253=0,"",[1]All!$F253)</f>
        <v>MIL-001-799</v>
      </c>
    </row>
    <row r="253" spans="1:18">
      <c r="A253" s="7"/>
      <c r="B253" s="3">
        <f t="shared" si="18"/>
        <v>68</v>
      </c>
      <c r="C253" s="3" t="str">
        <f t="shared" si="19"/>
        <v>D</v>
      </c>
      <c r="D253" s="9" t="str">
        <f t="shared" si="20"/>
        <v>15523</v>
      </c>
      <c r="E253" s="3" t="str">
        <f t="shared" si="21"/>
        <v>BLXY  15523</v>
      </c>
      <c r="F253" s="10" t="str">
        <f t="shared" si="22"/>
        <v>PCCN: CRGARM:-:PLISN: BLXY :-:PCC: TIT :-: CAGE: 0PVE5:-:PART NUMBER: 15523:-:NOMENCLATURE: CLAMP,HOSE:-:PRICE: $24.50:-:UNIQUE MODS: NO:-:PROPRIETARILY MFG FOR OEM: NO:-: :-: :-: :-:NSN: 4730015672921 :-: NHA: MIL-001-047</v>
      </c>
      <c r="G253" s="8" t="str">
        <f>IF([1]All!$B254="","",[1]All!$B254)</f>
        <v xml:space="preserve">BLXY </v>
      </c>
      <c r="H253" s="8"/>
      <c r="I253" s="8" t="str">
        <f>IF([1]All!$D254=0,"",[1]All!$D254)</f>
        <v>D</v>
      </c>
      <c r="J253" s="8" t="str">
        <f>IF([1]All!$E254=0,"",[1]All!$E254)</f>
        <v>0PVE5</v>
      </c>
      <c r="K253" s="8" t="s">
        <v>195</v>
      </c>
      <c r="L253" s="11" t="str">
        <f>IF([1]All!$L254=0,"",[1]All!$L254)</f>
        <v>CLAMP,HOSE</v>
      </c>
      <c r="M253" s="7" t="str">
        <f>IF([1]All!$AJ254=0,"",[1]All!$AJ254)</f>
        <v xml:space="preserve">BCTG </v>
      </c>
      <c r="N253" s="7" t="str">
        <f>IF([1]All!$R254=0,"",[1]All!$R254)</f>
        <v>4730</v>
      </c>
      <c r="O253" s="7" t="str">
        <f>IF([1]All!$S254=0,"",[1]All!$S254)</f>
        <v>015672921</v>
      </c>
      <c r="P253" s="7" t="str">
        <f>IF([1]All!$V254=0,"",[1]All!$V254)</f>
        <v>0000002450</v>
      </c>
      <c r="Q253" s="3" t="str">
        <f t="shared" si="23"/>
        <v>$24.50</v>
      </c>
      <c r="R253" s="8" t="str">
        <f>IF([1]All!$F254=0,"",[1]All!$F254)</f>
        <v>15523</v>
      </c>
    </row>
    <row r="254" spans="1:18">
      <c r="A254" s="7"/>
      <c r="B254" s="3">
        <f t="shared" si="18"/>
        <v>68</v>
      </c>
      <c r="C254" s="3" t="str">
        <f t="shared" si="19"/>
        <v>D</v>
      </c>
      <c r="D254" s="9" t="str">
        <f t="shared" si="20"/>
        <v>MIL-001-340</v>
      </c>
      <c r="E254" s="3" t="str">
        <f t="shared" si="21"/>
        <v>BL3U  MIL-001-340</v>
      </c>
      <c r="F254" s="10" t="str">
        <f t="shared" si="22"/>
        <v>PCCN: CRGARM:-:PLISN: BL3U :-:PCC: TIT :-: CAGE: 0UJB5:-:PART NUMBER: MIL-001-340:-:NOMENCLATURE: BRACKET,MOUNTING:-:PRICE: $394.22:-:UNIQUE MODS: NO:-:PROPRIETARILY MFG FOR OEM: NO:-: :-: :-: :-: :-: NHA: MIL-001-047</v>
      </c>
      <c r="G254" s="8" t="str">
        <f>IF([1]All!$B255="","",[1]All!$B255)</f>
        <v xml:space="preserve">BL3U </v>
      </c>
      <c r="H254" s="8"/>
      <c r="I254" s="8" t="str">
        <f>IF([1]All!$D255=0,"",[1]All!$D255)</f>
        <v>D</v>
      </c>
      <c r="J254" s="8" t="str">
        <f>IF([1]All!$E255=0,"",[1]All!$E255)</f>
        <v>0UJB5</v>
      </c>
      <c r="K254" s="8" t="s">
        <v>196</v>
      </c>
      <c r="L254" s="11" t="str">
        <f>IF([1]All!$L255=0,"",[1]All!$L255)</f>
        <v>BRACKET,MOUNTING</v>
      </c>
      <c r="M254" s="7" t="str">
        <f>IF([1]All!$AJ255=0,"",[1]All!$AJ255)</f>
        <v xml:space="preserve">BCTG </v>
      </c>
      <c r="N254" s="7" t="str">
        <f>IF([1]All!$R255=0,"",[1]All!$R255)</f>
        <v/>
      </c>
      <c r="O254" s="7" t="str">
        <f>IF([1]All!$S255=0,"",[1]All!$S255)</f>
        <v/>
      </c>
      <c r="P254" s="7" t="str">
        <f>IF([1]All!$V255=0,"",[1]All!$V255)</f>
        <v>0000039422</v>
      </c>
      <c r="Q254" s="3" t="str">
        <f t="shared" si="23"/>
        <v>$394.22</v>
      </c>
      <c r="R254" s="8" t="str">
        <f>IF([1]All!$F255=0,"",[1]All!$F255)</f>
        <v>MIL-001-340</v>
      </c>
    </row>
    <row r="255" spans="1:18">
      <c r="A255" s="7"/>
      <c r="B255" s="3">
        <f t="shared" si="18"/>
        <v>68</v>
      </c>
      <c r="C255" s="3" t="str">
        <f t="shared" si="19"/>
        <v>D</v>
      </c>
      <c r="D255" s="9" t="str">
        <f t="shared" si="20"/>
        <v>MIL-001-761</v>
      </c>
      <c r="E255" s="3" t="str">
        <f t="shared" si="21"/>
        <v>BL9Q  MIL-001-761</v>
      </c>
      <c r="F255" s="10" t="str">
        <f t="shared" si="22"/>
        <v>PCCN: CRGARM:-:PLISN: BL9Q :-:PCC: TIT :-: CAGE: 0UJB5:-:PART NUMBER: MIL-001-761:-:NOMENCLATURE: SCREW,CAP,HEXAGON H:-:PRICE: $1.64:-:UNIQUE MODS: NO:-:PROPRIETARILY MFG FOR OEM: NO:-: :-: :-: :-:NSN: 5305016005886 :-: NHA: MIL-001-047</v>
      </c>
      <c r="G255" s="8" t="str">
        <f>IF([1]All!$B256="","",[1]All!$B256)</f>
        <v xml:space="preserve">BL9Q </v>
      </c>
      <c r="H255" s="8"/>
      <c r="I255" s="8" t="str">
        <f>IF([1]All!$D256=0,"",[1]All!$D256)</f>
        <v>D</v>
      </c>
      <c r="J255" s="8" t="str">
        <f>IF([1]All!$E256=0,"",[1]All!$E256)</f>
        <v>0UJB5</v>
      </c>
      <c r="K255" s="8" t="s">
        <v>197</v>
      </c>
      <c r="L255" s="11" t="str">
        <f>IF([1]All!$L256=0,"",[1]All!$L256)</f>
        <v>SCREW,CAP,HEXAGON H</v>
      </c>
      <c r="M255" s="7" t="str">
        <f>IF([1]All!$AJ256=0,"",[1]All!$AJ256)</f>
        <v xml:space="preserve">BCTG </v>
      </c>
      <c r="N255" s="7" t="str">
        <f>IF([1]All!$R256=0,"",[1]All!$R256)</f>
        <v>5305</v>
      </c>
      <c r="O255" s="7" t="str">
        <f>IF([1]All!$S256=0,"",[1]All!$S256)</f>
        <v>016005886</v>
      </c>
      <c r="P255" s="7" t="str">
        <f>IF([1]All!$V256=0,"",[1]All!$V256)</f>
        <v>0000000164</v>
      </c>
      <c r="Q255" s="3" t="str">
        <f t="shared" si="23"/>
        <v>$1.64</v>
      </c>
      <c r="R255" s="8" t="str">
        <f>IF([1]All!$F256=0,"",[1]All!$F256)</f>
        <v>MIL-001-761</v>
      </c>
    </row>
    <row r="256" spans="1:18">
      <c r="A256" s="7"/>
      <c r="B256" s="3">
        <f t="shared" si="18"/>
        <v>68</v>
      </c>
      <c r="C256" s="3" t="str">
        <f t="shared" si="19"/>
        <v>D</v>
      </c>
      <c r="D256" s="9" t="str">
        <f t="shared" si="20"/>
        <v>MIL-001-197</v>
      </c>
      <c r="E256" s="3" t="str">
        <f t="shared" si="21"/>
        <v>BMFL  MIL-001-197</v>
      </c>
      <c r="F256" s="10" t="str">
        <f t="shared" si="22"/>
        <v>PCCN: CRGARM:-:PLISN: BMFL :-:PCC: TIT :-: CAGE: 0UJB5:-:PART NUMBER: MIL-001-197:-:NOMENCLATURE: WASHER,FLAT:-:PRICE: $1.13:-:UNIQUE MODS: NO:-:PROPRIETARILY MFG FOR OEM: NO:-: :-: :-: :-:NSN: 5310015738816 :-: NHA: MIL-001-047</v>
      </c>
      <c r="G256" s="8" t="str">
        <f>IF([1]All!$B257="","",[1]All!$B257)</f>
        <v xml:space="preserve">BMFL </v>
      </c>
      <c r="H256" s="8"/>
      <c r="I256" s="8" t="str">
        <f>IF([1]All!$D257=0,"",[1]All!$D257)</f>
        <v>D</v>
      </c>
      <c r="J256" s="8" t="str">
        <f>IF([1]All!$E257=0,"",[1]All!$E257)</f>
        <v>0UJB5</v>
      </c>
      <c r="K256" s="8" t="s">
        <v>198</v>
      </c>
      <c r="L256" s="11" t="str">
        <f>IF([1]All!$L257=0,"",[1]All!$L257)</f>
        <v>WASHER,FLAT</v>
      </c>
      <c r="M256" s="7" t="str">
        <f>IF([1]All!$AJ257=0,"",[1]All!$AJ257)</f>
        <v xml:space="preserve">BCTG </v>
      </c>
      <c r="N256" s="7" t="str">
        <f>IF([1]All!$R257=0,"",[1]All!$R257)</f>
        <v>5310</v>
      </c>
      <c r="O256" s="7" t="str">
        <f>IF([1]All!$S257=0,"",[1]All!$S257)</f>
        <v>015738816</v>
      </c>
      <c r="P256" s="7" t="str">
        <f>IF([1]All!$V257=0,"",[1]All!$V257)</f>
        <v>0000000113</v>
      </c>
      <c r="Q256" s="3" t="str">
        <f t="shared" si="23"/>
        <v>$1.13</v>
      </c>
      <c r="R256" s="8" t="str">
        <f>IF([1]All!$F257=0,"",[1]All!$F257)</f>
        <v>MIL-001-197</v>
      </c>
    </row>
    <row r="257" spans="1:18">
      <c r="A257" s="7"/>
      <c r="B257" s="3">
        <f t="shared" si="18"/>
        <v>68</v>
      </c>
      <c r="C257" s="3" t="str">
        <f t="shared" si="19"/>
        <v>D</v>
      </c>
      <c r="D257" s="9" t="str">
        <f t="shared" si="20"/>
        <v>91102A770</v>
      </c>
      <c r="E257" s="3" t="str">
        <f t="shared" si="21"/>
        <v>BMMG  91102A770</v>
      </c>
      <c r="F257" s="10" t="str">
        <f t="shared" si="22"/>
        <v>PCCN: CRGARM:-:PLISN: BMMG :-:PCC: TIT :-: CAGE: 39428:-:PART NUMBER: 91102A770:-:NOMENCLATURE: WASHER,LOCK:-:PRICE: $0.12:-:UNIQUE MODS: NO:-:PROPRIETARILY MFG FOR OEM: NO:-: :-: :-: :-:NSN: 5310015335500 :-: NHA: MIL-001-047</v>
      </c>
      <c r="G257" s="8" t="str">
        <f>IF([1]All!$B258="","",[1]All!$B258)</f>
        <v xml:space="preserve">BMMG </v>
      </c>
      <c r="H257" s="8"/>
      <c r="I257" s="8" t="str">
        <f>IF([1]All!$D258=0,"",[1]All!$D258)</f>
        <v>D</v>
      </c>
      <c r="J257" s="8" t="str">
        <f>IF([1]All!$E258=0,"",[1]All!$E258)</f>
        <v>39428</v>
      </c>
      <c r="K257" s="8" t="s">
        <v>199</v>
      </c>
      <c r="L257" s="11" t="str">
        <f>IF([1]All!$L258=0,"",[1]All!$L258)</f>
        <v>WASHER,LOCK</v>
      </c>
      <c r="M257" s="7" t="str">
        <f>IF([1]All!$AJ258=0,"",[1]All!$AJ258)</f>
        <v xml:space="preserve">BCTG </v>
      </c>
      <c r="N257" s="7" t="str">
        <f>IF([1]All!$R258=0,"",[1]All!$R258)</f>
        <v>5310</v>
      </c>
      <c r="O257" s="7" t="str">
        <f>IF([1]All!$S258=0,"",[1]All!$S258)</f>
        <v>015335500</v>
      </c>
      <c r="P257" s="7" t="str">
        <f>IF([1]All!$V258=0,"",[1]All!$V258)</f>
        <v>0000000012</v>
      </c>
      <c r="Q257" s="3" t="str">
        <f t="shared" si="23"/>
        <v>$0.12</v>
      </c>
      <c r="R257" s="8" t="str">
        <f>IF([1]All!$F258=0,"",[1]All!$F258)</f>
        <v>91102A770</v>
      </c>
    </row>
    <row r="258" spans="1:18">
      <c r="A258" s="7"/>
      <c r="B258" s="3">
        <f t="shared" ref="B258:B321" si="24">IF(C258="","",CODE(C258))</f>
        <v>68</v>
      </c>
      <c r="C258" s="3" t="str">
        <f t="shared" si="19"/>
        <v>D</v>
      </c>
      <c r="D258" s="9" t="str">
        <f t="shared" si="20"/>
        <v>0169238</v>
      </c>
      <c r="E258" s="3" t="str">
        <f t="shared" si="21"/>
        <v>BMTC  0169238</v>
      </c>
      <c r="F258" s="10" t="str">
        <f t="shared" si="22"/>
        <v>PCCN: CRGARM:-:PLISN: BMTC :-:PCC: TIT :-: CAGE: 0Y3H3:-:PART NUMBER: 0169238:-:NOMENCLATURE: NUT,PLAIN,HEXAGON:-:PRICE: $0.89:-:UNIQUE MODS: NO:-:PROPRIETARILY MFG FOR OEM: NO:-: :-: :-: :-:NSN: 5310016005305 :-: NHA: MIL-001-047</v>
      </c>
      <c r="G258" s="8" t="str">
        <f>IF([1]All!$B259="","",[1]All!$B259)</f>
        <v xml:space="preserve">BMTC </v>
      </c>
      <c r="H258" s="8"/>
      <c r="I258" s="8" t="str">
        <f>IF([1]All!$D259=0,"",[1]All!$D259)</f>
        <v>D</v>
      </c>
      <c r="J258" s="8" t="str">
        <f>IF([1]All!$E259=0,"",[1]All!$E259)</f>
        <v>0Y3H3</v>
      </c>
      <c r="K258" s="8" t="s">
        <v>200</v>
      </c>
      <c r="L258" s="11" t="str">
        <f>IF([1]All!$L259=0,"",[1]All!$L259)</f>
        <v>NUT,PLAIN,HEXAGON</v>
      </c>
      <c r="M258" s="7" t="str">
        <f>IF([1]All!$AJ259=0,"",[1]All!$AJ259)</f>
        <v xml:space="preserve">BCTG </v>
      </c>
      <c r="N258" s="7" t="str">
        <f>IF([1]All!$R259=0,"",[1]All!$R259)</f>
        <v>5310</v>
      </c>
      <c r="O258" s="7" t="str">
        <f>IF([1]All!$S259=0,"",[1]All!$S259)</f>
        <v>016005305</v>
      </c>
      <c r="P258" s="7" t="str">
        <f>IF([1]All!$V259=0,"",[1]All!$V259)</f>
        <v>0000000089</v>
      </c>
      <c r="Q258" s="3" t="str">
        <f t="shared" si="23"/>
        <v>$0.89</v>
      </c>
      <c r="R258" s="8" t="str">
        <f>IF([1]All!$F259=0,"",[1]All!$F259)</f>
        <v>0169238</v>
      </c>
    </row>
    <row r="259" spans="1:18">
      <c r="A259" s="7"/>
      <c r="B259" s="3">
        <f t="shared" si="24"/>
        <v>68</v>
      </c>
      <c r="C259" s="3" t="str">
        <f t="shared" ref="C259:C322" si="25">I259</f>
        <v>D</v>
      </c>
      <c r="D259" s="9" t="str">
        <f t="shared" ref="D259:D322" si="26">K259</f>
        <v>MIL-001-1319</v>
      </c>
      <c r="E259" s="3" t="str">
        <f t="shared" ref="E259:E322" si="27">G259&amp;" "&amp;D259</f>
        <v>BMY8  MIL-001-1319</v>
      </c>
      <c r="F259" s="10" t="str">
        <f t="shared" ref="F259:F322" si="28">$A$2&amp;":-:"&amp;"PLISN: "&amp;$G259&amp;":-:"&amp;$A$4&amp;" :-: "&amp;"CAGE: "&amp;J259&amp;":-:"&amp;"PART NUMBER: " &amp; R259&amp;":-:NOMENCLATURE: "&amp;L259&amp;":-:PRICE: " &amp; Q259&amp;":-:"&amp;$A$9&amp;":-:"&amp;$A$10&amp;":-: :-: :-: :-:"&amp;IF(N259="","","NSN: "&amp;N259&amp;O259)&amp;IF(M259="",""," :-: NHA: "&amp;VLOOKUP(M259,G$2:L$65000,5,FALSE)&amp;IF(VLOOKUP(M259,G$2:O$65000,8,FALSE)="",""," :-: NHA NSN: "&amp;VLOOKUP(M259,G$2:O$65000,8,FALSE)&amp;VLOOKUP(M259,G$2:O$65000,9,FALSE)))</f>
        <v>PCCN: CRGARM:-:PLISN: BMY8 :-:PCC: TIT :-: CAGE: 0UJB5:-:PART NUMBER: MIL-001-1319:-:NOMENCLATURE: CABLE ASSEMBLY,SPEC:-:PRICE: $19.39:-:UNIQUE MODS: NO:-:PROPRIETARILY MFG FOR OEM: NO:-: :-: :-: :-: :-: NHA: MIL-001-047</v>
      </c>
      <c r="G259" s="8" t="str">
        <f>IF([1]All!$B260="","",[1]All!$B260)</f>
        <v xml:space="preserve">BMY8 </v>
      </c>
      <c r="H259" s="8"/>
      <c r="I259" s="8" t="str">
        <f>IF([1]All!$D260=0,"",[1]All!$D260)</f>
        <v>D</v>
      </c>
      <c r="J259" s="8" t="str">
        <f>IF([1]All!$E260=0,"",[1]All!$E260)</f>
        <v>0UJB5</v>
      </c>
      <c r="K259" s="8" t="s">
        <v>201</v>
      </c>
      <c r="L259" s="11" t="str">
        <f>IF([1]All!$L260=0,"",[1]All!$L260)</f>
        <v>CABLE ASSEMBLY,SPEC</v>
      </c>
      <c r="M259" s="7" t="str">
        <f>IF([1]All!$AJ260=0,"",[1]All!$AJ260)</f>
        <v xml:space="preserve">BCTG </v>
      </c>
      <c r="N259" s="7" t="str">
        <f>IF([1]All!$R260=0,"",[1]All!$R260)</f>
        <v/>
      </c>
      <c r="O259" s="7" t="str">
        <f>IF([1]All!$S260=0,"",[1]All!$S260)</f>
        <v/>
      </c>
      <c r="P259" s="7" t="str">
        <f>IF([1]All!$V260=0,"",[1]All!$V260)</f>
        <v>0000001939</v>
      </c>
      <c r="Q259" s="3" t="str">
        <f t="shared" ref="Q259:Q322" si="29">IF(ISERROR(FIND(".",P259*0.01)),"$"&amp;P259*0.01&amp;".00",IF(FIND(".",P259*0.01)&lt;LEN(P259*0.01)-1,"$"&amp;P259*0.01,"$"&amp;P259*0.01&amp;"0"))</f>
        <v>$19.39</v>
      </c>
      <c r="R259" s="8" t="str">
        <f>IF([1]All!$F260=0,"",[1]All!$F260)</f>
        <v>MIL-001-1319</v>
      </c>
    </row>
    <row r="260" spans="1:18">
      <c r="A260" s="7"/>
      <c r="B260" s="3">
        <f t="shared" si="24"/>
        <v>69</v>
      </c>
      <c r="C260" s="3" t="str">
        <f t="shared" si="25"/>
        <v>E</v>
      </c>
      <c r="D260" s="9" t="str">
        <f t="shared" si="26"/>
        <v>MIL-001-1486</v>
      </c>
      <c r="E260" s="3" t="str">
        <f t="shared" si="27"/>
        <v>BM44  MIL-001-1486</v>
      </c>
      <c r="F260" s="10" t="str">
        <f t="shared" si="28"/>
        <v>PCCN: CRGARM:-:PLISN: BM44 :-:PCC: TIT :-: CAGE: 0UJB5:-:PART NUMBER: MIL-001-1486:-:NOMENCLATURE: CABLE,POWER,ELECTRI:-:PRICE: $5.00:-:UNIQUE MODS: NO:-:PROPRIETARILY MFG FOR OEM: NO:-: :-: :-: :-: :-: NHA: MIL-001-1319</v>
      </c>
      <c r="G260" s="8" t="str">
        <f>IF([1]All!$B261="","",[1]All!$B261)</f>
        <v xml:space="preserve">BM44 </v>
      </c>
      <c r="H260" s="8"/>
      <c r="I260" s="8" t="str">
        <f>IF([1]All!$D261=0,"",[1]All!$D261)</f>
        <v>E</v>
      </c>
      <c r="J260" s="8" t="str">
        <f>IF([1]All!$E261=0,"",[1]All!$E261)</f>
        <v>0UJB5</v>
      </c>
      <c r="K260" s="8" t="s">
        <v>202</v>
      </c>
      <c r="L260" s="11" t="str">
        <f>IF([1]All!$L261=0,"",[1]All!$L261)</f>
        <v>CABLE,POWER,ELECTRI</v>
      </c>
      <c r="M260" s="7" t="str">
        <f>IF([1]All!$AJ261=0,"",[1]All!$AJ261)</f>
        <v xml:space="preserve">BMY8 </v>
      </c>
      <c r="N260" s="7" t="str">
        <f>IF([1]All!$R261=0,"",[1]All!$R261)</f>
        <v/>
      </c>
      <c r="O260" s="7" t="str">
        <f>IF([1]All!$S261=0,"",[1]All!$S261)</f>
        <v/>
      </c>
      <c r="P260" s="7" t="str">
        <f>IF([1]All!$V261=0,"",[1]All!$V261)</f>
        <v>0000000500</v>
      </c>
      <c r="Q260" s="3" t="str">
        <f t="shared" si="29"/>
        <v>$5.00</v>
      </c>
      <c r="R260" s="8" t="str">
        <f>IF([1]All!$F261=0,"",[1]All!$F261)</f>
        <v>MIL-001-1486</v>
      </c>
    </row>
    <row r="261" spans="1:18">
      <c r="A261" s="7"/>
      <c r="B261" s="3">
        <f t="shared" si="24"/>
        <v>69</v>
      </c>
      <c r="C261" s="3" t="str">
        <f t="shared" si="25"/>
        <v>E</v>
      </c>
      <c r="D261" s="9" t="str">
        <f t="shared" si="26"/>
        <v>BS8141-0 PG9</v>
      </c>
      <c r="E261" s="3" t="str">
        <f t="shared" si="27"/>
        <v>BNA0  BS8141-0 PG9</v>
      </c>
      <c r="F261" s="10" t="str">
        <f t="shared" si="28"/>
        <v>PCCN: CRGARM:-:PLISN: BNA0 :-:PCC: TIT :-: CAGE: 61526:-:PART NUMBER: BS8141-0/PG9:-:NOMENCLATURE: CONNECTOR,PLUG,ELEC:-:PRICE: $19.39:-:UNIQUE MODS: NO:-:PROPRIETARILY MFG FOR OEM: NO:-: :-: :-: :-: :-: NHA: MIL-001-1319</v>
      </c>
      <c r="G261" s="8" t="str">
        <f>IF([1]All!$B262="","",[1]All!$B262)</f>
        <v xml:space="preserve">BNA0 </v>
      </c>
      <c r="H261" s="8"/>
      <c r="I261" s="8" t="str">
        <f>IF([1]All!$D262=0,"",[1]All!$D262)</f>
        <v>E</v>
      </c>
      <c r="J261" s="8" t="str">
        <f>IF([1]All!$E262=0,"",[1]All!$E262)</f>
        <v>61526</v>
      </c>
      <c r="K261" s="8" t="s">
        <v>447</v>
      </c>
      <c r="L261" s="11" t="str">
        <f>IF([1]All!$L262=0,"",[1]All!$L262)</f>
        <v>CONNECTOR,PLUG,ELEC</v>
      </c>
      <c r="M261" s="7" t="str">
        <f>IF([1]All!$AJ262=0,"",[1]All!$AJ262)</f>
        <v xml:space="preserve">BMY8 </v>
      </c>
      <c r="N261" s="7" t="str">
        <f>IF([1]All!$R262=0,"",[1]All!$R262)</f>
        <v/>
      </c>
      <c r="O261" s="7" t="str">
        <f>IF([1]All!$S262=0,"",[1]All!$S262)</f>
        <v/>
      </c>
      <c r="P261" s="7" t="str">
        <f>IF([1]All!$V262=0,"",[1]All!$V262)</f>
        <v>0000001939</v>
      </c>
      <c r="Q261" s="3" t="str">
        <f t="shared" si="29"/>
        <v>$19.39</v>
      </c>
      <c r="R261" s="8" t="str">
        <f>IF([1]All!$F262=0,"",[1]All!$F262)</f>
        <v>BS8141-0/PG9</v>
      </c>
    </row>
    <row r="262" spans="1:18">
      <c r="A262" s="7"/>
      <c r="B262" s="3">
        <f t="shared" si="24"/>
        <v>69</v>
      </c>
      <c r="C262" s="3" t="str">
        <f t="shared" si="25"/>
        <v>E</v>
      </c>
      <c r="D262" s="9" t="str">
        <f t="shared" si="26"/>
        <v>DT06-2S</v>
      </c>
      <c r="E262" s="3" t="str">
        <f t="shared" si="27"/>
        <v>BNGW  DT06-2S</v>
      </c>
      <c r="F262" s="10" t="str">
        <f t="shared" si="28"/>
        <v>PCCN: CRGARM:-:PLISN: BNGW :-:PCC: TIT :-: CAGE: 11139:-:PART NUMBER: DT06-2S:-:NOMENCLATURE: CONNECTOR BODY,PLUG:-:PRICE: $0.73:-:UNIQUE MODS: NO:-:PROPRIETARILY MFG FOR OEM: NO:-: :-: :-: :-:NSN: 5935014475814 :-: NHA: MIL-001-1319</v>
      </c>
      <c r="G262" s="8" t="str">
        <f>IF([1]All!$B263="","",[1]All!$B263)</f>
        <v xml:space="preserve">BNGW </v>
      </c>
      <c r="H262" s="8"/>
      <c r="I262" s="8" t="str">
        <f>IF([1]All!$D263=0,"",[1]All!$D263)</f>
        <v>E</v>
      </c>
      <c r="J262" s="8" t="str">
        <f>IF([1]All!$E263=0,"",[1]All!$E263)</f>
        <v>11139</v>
      </c>
      <c r="K262" s="8" t="s">
        <v>203</v>
      </c>
      <c r="L262" s="11" t="str">
        <f>IF([1]All!$L263=0,"",[1]All!$L263)</f>
        <v>CONNECTOR BODY,PLUG</v>
      </c>
      <c r="M262" s="7" t="str">
        <f>IF([1]All!$AJ263=0,"",[1]All!$AJ263)</f>
        <v xml:space="preserve">BMY8 </v>
      </c>
      <c r="N262" s="7" t="str">
        <f>IF([1]All!$R263=0,"",[1]All!$R263)</f>
        <v>5935</v>
      </c>
      <c r="O262" s="7" t="str">
        <f>IF([1]All!$S263=0,"",[1]All!$S263)</f>
        <v>014475814</v>
      </c>
      <c r="P262" s="7" t="str">
        <f>IF([1]All!$V263=0,"",[1]All!$V263)</f>
        <v>0000000073</v>
      </c>
      <c r="Q262" s="3" t="str">
        <f t="shared" si="29"/>
        <v>$0.73</v>
      </c>
      <c r="R262" s="8" t="str">
        <f>IF([1]All!$F263=0,"",[1]All!$F263)</f>
        <v>DT06-2S</v>
      </c>
    </row>
    <row r="263" spans="1:18">
      <c r="A263" s="7"/>
      <c r="B263" s="3">
        <f t="shared" si="24"/>
        <v>69</v>
      </c>
      <c r="C263" s="3" t="str">
        <f t="shared" si="25"/>
        <v>E</v>
      </c>
      <c r="D263" s="9" t="str">
        <f t="shared" si="26"/>
        <v>W2S-P012</v>
      </c>
      <c r="E263" s="3" t="str">
        <f t="shared" si="27"/>
        <v>BNNS  W2S-P012</v>
      </c>
      <c r="F263" s="10" t="str">
        <f t="shared" si="28"/>
        <v>PCCN: CRGARM:-:PLISN: BNNS :-:PCC: TIT :-: CAGE: 11139:-:PART NUMBER: W2S-P012:-:NOMENCLATURE: RETAINER,ELECTRICAL:-:PRICE: $0.08:-:UNIQUE MODS: NO:-:PROPRIETARILY MFG FOR OEM: NO:-: :-: :-: :-:NSN: 5935014800358 :-: NHA: MIL-001-1319</v>
      </c>
      <c r="G263" s="8" t="str">
        <f>IF([1]All!$B264="","",[1]All!$B264)</f>
        <v xml:space="preserve">BNNS </v>
      </c>
      <c r="H263" s="8"/>
      <c r="I263" s="8" t="str">
        <f>IF([1]All!$D264=0,"",[1]All!$D264)</f>
        <v>E</v>
      </c>
      <c r="J263" s="8" t="str">
        <f>IF([1]All!$E264=0,"",[1]All!$E264)</f>
        <v>11139</v>
      </c>
      <c r="K263" s="8" t="s">
        <v>204</v>
      </c>
      <c r="L263" s="11" t="str">
        <f>IF([1]All!$L264=0,"",[1]All!$L264)</f>
        <v>RETAINER,ELECTRICAL</v>
      </c>
      <c r="M263" s="7" t="str">
        <f>IF([1]All!$AJ264=0,"",[1]All!$AJ264)</f>
        <v xml:space="preserve">BMY8 </v>
      </c>
      <c r="N263" s="7" t="str">
        <f>IF([1]All!$R264=0,"",[1]All!$R264)</f>
        <v>5935</v>
      </c>
      <c r="O263" s="7" t="str">
        <f>IF([1]All!$S264=0,"",[1]All!$S264)</f>
        <v>014800358</v>
      </c>
      <c r="P263" s="7" t="str">
        <f>IF([1]All!$V264=0,"",[1]All!$V264)</f>
        <v>0000000008</v>
      </c>
      <c r="Q263" s="3" t="str">
        <f t="shared" si="29"/>
        <v>$0.08</v>
      </c>
      <c r="R263" s="8" t="str">
        <f>IF([1]All!$F264=0,"",[1]All!$F264)</f>
        <v>W2S-P012</v>
      </c>
    </row>
    <row r="264" spans="1:18">
      <c r="A264" s="7"/>
      <c r="B264" s="3">
        <f t="shared" si="24"/>
        <v>69</v>
      </c>
      <c r="C264" s="3" t="str">
        <f t="shared" si="25"/>
        <v>E</v>
      </c>
      <c r="D264" s="9" t="str">
        <f t="shared" si="26"/>
        <v>8T8730</v>
      </c>
      <c r="E264" s="3" t="str">
        <f t="shared" si="27"/>
        <v>BNUN  8T8730</v>
      </c>
      <c r="F264" s="10" t="str">
        <f t="shared" si="28"/>
        <v>PCCN: CRGARM:-:PLISN: BNUN :-:PCC: TIT :-: CAGE: 11083:-:PART NUMBER: 8T8730:-:NOMENCLATURE: CONNECTOR,PLUG,ELEC:-:PRICE: $1.25:-:UNIQUE MODS: NO:-:PROPRIETARILY MFG FOR OEM: NO:-: :-: :-: :-:NSN: 5935014290888 :-: NHA: MIL-001-1319</v>
      </c>
      <c r="G264" s="8" t="str">
        <f>IF([1]All!$B265="","",[1]All!$B265)</f>
        <v xml:space="preserve">BNUN </v>
      </c>
      <c r="H264" s="8"/>
      <c r="I264" s="8" t="str">
        <f>IF([1]All!$D265=0,"",[1]All!$D265)</f>
        <v>E</v>
      </c>
      <c r="J264" s="8" t="str">
        <f>IF([1]All!$E265=0,"",[1]All!$E265)</f>
        <v>11083</v>
      </c>
      <c r="K264" s="8" t="s">
        <v>205</v>
      </c>
      <c r="L264" s="11" t="str">
        <f>IF([1]All!$L265=0,"",[1]All!$L265)</f>
        <v>CONNECTOR,PLUG,ELEC</v>
      </c>
      <c r="M264" s="7" t="str">
        <f>IF([1]All!$AJ265=0,"",[1]All!$AJ265)</f>
        <v xml:space="preserve">BMY8 </v>
      </c>
      <c r="N264" s="7" t="str">
        <f>IF([1]All!$R265=0,"",[1]All!$R265)</f>
        <v>5935</v>
      </c>
      <c r="O264" s="7" t="str">
        <f>IF([1]All!$S265=0,"",[1]All!$S265)</f>
        <v>014290888</v>
      </c>
      <c r="P264" s="7" t="str">
        <f>IF([1]All!$V265=0,"",[1]All!$V265)</f>
        <v>0000000125</v>
      </c>
      <c r="Q264" s="3" t="str">
        <f t="shared" si="29"/>
        <v>$1.25</v>
      </c>
      <c r="R264" s="8" t="str">
        <f>IF([1]All!$F265=0,"",[1]All!$F265)</f>
        <v>8T8730</v>
      </c>
    </row>
    <row r="265" spans="1:18">
      <c r="A265" s="7"/>
      <c r="B265" s="3">
        <f t="shared" si="24"/>
        <v>69</v>
      </c>
      <c r="C265" s="3" t="str">
        <f t="shared" si="25"/>
        <v>E</v>
      </c>
      <c r="D265" s="9" t="str">
        <f t="shared" si="26"/>
        <v>MIL-001-952</v>
      </c>
      <c r="E265" s="3" t="str">
        <f t="shared" si="27"/>
        <v>BN0J  MIL-001-952</v>
      </c>
      <c r="F265" s="10" t="str">
        <f t="shared" si="28"/>
        <v>PCCN: CRGARM:-:PLISN: BN0J :-:PCC: TIT :-: CAGE: 0UJB5:-:PART NUMBER: MIL-001-952:-:NOMENCLATURE: PROTECTOR,ELECTRICA:-:PRICE: $1.50:-:UNIQUE MODS: NO:-:PROPRIETARILY MFG FOR OEM: NO:-: :-: :-: :-: :-: NHA: MIL-001-1319</v>
      </c>
      <c r="G265" s="8" t="str">
        <f>IF([1]All!$B266="","",[1]All!$B266)</f>
        <v xml:space="preserve">BN0J </v>
      </c>
      <c r="H265" s="8"/>
      <c r="I265" s="8" t="str">
        <f>IF([1]All!$D266=0,"",[1]All!$D266)</f>
        <v>E</v>
      </c>
      <c r="J265" s="8" t="str">
        <f>IF([1]All!$E266=0,"",[1]All!$E266)</f>
        <v>0UJB5</v>
      </c>
      <c r="K265" s="8" t="s">
        <v>206</v>
      </c>
      <c r="L265" s="11" t="str">
        <f>IF([1]All!$L266=0,"",[1]All!$L266)</f>
        <v>PROTECTOR,ELECTRICA</v>
      </c>
      <c r="M265" s="7" t="str">
        <f>IF([1]All!$AJ266=0,"",[1]All!$AJ266)</f>
        <v xml:space="preserve">BMY8 </v>
      </c>
      <c r="N265" s="7" t="str">
        <f>IF([1]All!$R266=0,"",[1]All!$R266)</f>
        <v/>
      </c>
      <c r="O265" s="7" t="str">
        <f>IF([1]All!$S266=0,"",[1]All!$S266)</f>
        <v/>
      </c>
      <c r="P265" s="7" t="str">
        <f>IF([1]All!$V266=0,"",[1]All!$V266)</f>
        <v>0000000150</v>
      </c>
      <c r="Q265" s="3" t="str">
        <f t="shared" si="29"/>
        <v>$1.50</v>
      </c>
      <c r="R265" s="8" t="str">
        <f>IF([1]All!$F266=0,"",[1]All!$F266)</f>
        <v>MIL-001-952</v>
      </c>
    </row>
    <row r="266" spans="1:18">
      <c r="A266" s="7"/>
      <c r="B266" s="3">
        <f t="shared" si="24"/>
        <v>67</v>
      </c>
      <c r="C266" s="3" t="str">
        <f t="shared" si="25"/>
        <v>C</v>
      </c>
      <c r="D266" s="9" t="str">
        <f t="shared" si="26"/>
        <v>MIL-001-730</v>
      </c>
      <c r="E266" s="3" t="str">
        <f t="shared" si="27"/>
        <v>BN6E  MIL-001-730</v>
      </c>
      <c r="F266" s="10" t="str">
        <f t="shared" si="28"/>
        <v>PCCN: CRGARM:-:PLISN: BN6E :-:PCC: TIT :-: CAGE: 0UJB5:-:PART NUMBER: MIL-001-730:-:NOMENCLATURE: RAKE,ROCK AND ROOT,:-:PRICE: $7245.23:-:UNIQUE MODS: NO:-:PROPRIETARILY MFG FOR OEM: NO:-: :-: :-: :-:NSN: 3830016180157 :-: NHA: 12574288</v>
      </c>
      <c r="G266" s="8" t="str">
        <f>IF([1]All!$B267="","",[1]All!$B267)</f>
        <v xml:space="preserve">BN6E </v>
      </c>
      <c r="H266" s="8"/>
      <c r="I266" s="8" t="str">
        <f>IF([1]All!$D267=0,"",[1]All!$D267)</f>
        <v>C</v>
      </c>
      <c r="J266" s="8" t="str">
        <f>IF([1]All!$E267=0,"",[1]All!$E267)</f>
        <v>0UJB5</v>
      </c>
      <c r="K266" s="8" t="s">
        <v>207</v>
      </c>
      <c r="L266" s="11" t="str">
        <f>IF([1]All!$L267=0,"",[1]All!$L267)</f>
        <v>RAKE,ROCK AND ROOT,</v>
      </c>
      <c r="M266" s="7" t="str">
        <f>IF([1]All!$AJ267=0,"",[1]All!$AJ267)</f>
        <v xml:space="preserve">AAF6 </v>
      </c>
      <c r="N266" s="7" t="str">
        <f>IF([1]All!$R267=0,"",[1]All!$R267)</f>
        <v>3830</v>
      </c>
      <c r="O266" s="7" t="str">
        <f>IF([1]All!$S267=0,"",[1]All!$S267)</f>
        <v>016180157</v>
      </c>
      <c r="P266" s="7" t="str">
        <f>IF([1]All!$V267=0,"",[1]All!$V267)</f>
        <v>0000724523</v>
      </c>
      <c r="Q266" s="3" t="str">
        <f t="shared" si="29"/>
        <v>$7245.23</v>
      </c>
      <c r="R266" s="8" t="str">
        <f>IF([1]All!$F267=0,"",[1]All!$F267)</f>
        <v>MIL-001-730</v>
      </c>
    </row>
    <row r="267" spans="1:18">
      <c r="A267" s="7"/>
      <c r="B267" s="3">
        <f t="shared" si="24"/>
        <v>68</v>
      </c>
      <c r="C267" s="3" t="str">
        <f t="shared" si="25"/>
        <v>D</v>
      </c>
      <c r="D267" s="9" t="str">
        <f t="shared" si="26"/>
        <v>MIL-001-726</v>
      </c>
      <c r="E267" s="3" t="str">
        <f t="shared" si="27"/>
        <v>BPCA  MIL-001-726</v>
      </c>
      <c r="F267" s="10" t="str">
        <f t="shared" si="28"/>
        <v>PCCN: CRGARM:-:PLISN: BPCA :-:PCC: TIT :-: CAGE: 0UJB5:-:PART NUMBER: MIL-001-726:-:NOMENCLATURE: RAKE:-:PRICE: $740.18:-:UNIQUE MODS: NO:-:PROPRIETARILY MFG FOR OEM: NO:-: :-: :-: :-: :-: NHA: MIL-001-730 :-: NHA NSN: 3830016180157</v>
      </c>
      <c r="G267" s="8" t="str">
        <f>IF([1]All!$B268="","",[1]All!$B268)</f>
        <v xml:space="preserve">BPCA </v>
      </c>
      <c r="H267" s="8"/>
      <c r="I267" s="8" t="str">
        <f>IF([1]All!$D268=0,"",[1]All!$D268)</f>
        <v>D</v>
      </c>
      <c r="J267" s="8" t="str">
        <f>IF([1]All!$E268=0,"",[1]All!$E268)</f>
        <v>0UJB5</v>
      </c>
      <c r="K267" s="8" t="s">
        <v>208</v>
      </c>
      <c r="L267" s="11" t="str">
        <f>IF([1]All!$L268=0,"",[1]All!$L268)</f>
        <v>RAKE</v>
      </c>
      <c r="M267" s="7" t="str">
        <f>IF([1]All!$AJ268=0,"",[1]All!$AJ268)</f>
        <v xml:space="preserve">BN6E </v>
      </c>
      <c r="N267" s="7" t="str">
        <f>IF([1]All!$R268=0,"",[1]All!$R268)</f>
        <v/>
      </c>
      <c r="O267" s="7" t="str">
        <f>IF([1]All!$S268=0,"",[1]All!$S268)</f>
        <v/>
      </c>
      <c r="P267" s="7" t="str">
        <f>IF([1]All!$V268=0,"",[1]All!$V268)</f>
        <v>0000074018</v>
      </c>
      <c r="Q267" s="3" t="str">
        <f t="shared" si="29"/>
        <v>$740.18</v>
      </c>
      <c r="R267" s="8" t="str">
        <f>IF([1]All!$F268=0,"",[1]All!$F268)</f>
        <v>MIL-001-726</v>
      </c>
    </row>
    <row r="268" spans="1:18">
      <c r="A268" s="7"/>
      <c r="B268" s="3">
        <f t="shared" si="24"/>
        <v>68</v>
      </c>
      <c r="C268" s="3" t="str">
        <f t="shared" si="25"/>
        <v>D</v>
      </c>
      <c r="D268" s="9" t="str">
        <f t="shared" si="26"/>
        <v>MIL-001-761</v>
      </c>
      <c r="E268" s="3" t="str">
        <f t="shared" si="27"/>
        <v>BPH6  MIL-001-761</v>
      </c>
      <c r="F268" s="10" t="str">
        <f t="shared" si="28"/>
        <v>PCCN: CRGARM:-:PLISN: BPH6 :-:PCC: TIT :-: CAGE: 0UJB5:-:PART NUMBER: MIL-001-761:-:NOMENCLATURE: SCREW,CAP,HEXAGON H:-:PRICE: $1.64:-:UNIQUE MODS: NO:-:PROPRIETARILY MFG FOR OEM: NO:-: :-: :-: :-:NSN: 5305016005886 :-: NHA: MIL-001-730 :-: NHA NSN: 3830016180157</v>
      </c>
      <c r="G268" s="8" t="str">
        <f>IF([1]All!$B269="","",[1]All!$B269)</f>
        <v xml:space="preserve">BPH6 </v>
      </c>
      <c r="H268" s="8"/>
      <c r="I268" s="8" t="str">
        <f>IF([1]All!$D269=0,"",[1]All!$D269)</f>
        <v>D</v>
      </c>
      <c r="J268" s="8" t="str">
        <f>IF([1]All!$E269=0,"",[1]All!$E269)</f>
        <v>0UJB5</v>
      </c>
      <c r="K268" s="8" t="s">
        <v>197</v>
      </c>
      <c r="L268" s="11" t="str">
        <f>IF([1]All!$L269=0,"",[1]All!$L269)</f>
        <v>SCREW,CAP,HEXAGON H</v>
      </c>
      <c r="M268" s="7" t="str">
        <f>IF([1]All!$AJ269=0,"",[1]All!$AJ269)</f>
        <v xml:space="preserve">BN6E </v>
      </c>
      <c r="N268" s="7" t="str">
        <f>IF([1]All!$R269=0,"",[1]All!$R269)</f>
        <v>5305</v>
      </c>
      <c r="O268" s="7" t="str">
        <f>IF([1]All!$S269=0,"",[1]All!$S269)</f>
        <v>016005886</v>
      </c>
      <c r="P268" s="7" t="str">
        <f>IF([1]All!$V269=0,"",[1]All!$V269)</f>
        <v>0000000164</v>
      </c>
      <c r="Q268" s="3" t="str">
        <f t="shared" si="29"/>
        <v>$1.64</v>
      </c>
      <c r="R268" s="8" t="str">
        <f>IF([1]All!$F269=0,"",[1]All!$F269)</f>
        <v>MIL-001-761</v>
      </c>
    </row>
    <row r="269" spans="1:18">
      <c r="A269" s="7"/>
      <c r="B269" s="3">
        <f t="shared" si="24"/>
        <v>68</v>
      </c>
      <c r="C269" s="3" t="str">
        <f t="shared" si="25"/>
        <v>D</v>
      </c>
      <c r="D269" s="9" t="str">
        <f t="shared" si="26"/>
        <v>MIL-001-762</v>
      </c>
      <c r="E269" s="3" t="str">
        <f t="shared" si="27"/>
        <v>BPP2  MIL-001-762</v>
      </c>
      <c r="F269" s="10" t="str">
        <f t="shared" si="28"/>
        <v>PCCN: CRGARM:-:PLISN: BPP2 :-:PCC: TIT :-: CAGE: 0UJB5:-:PART NUMBER: MIL-001-762:-:NOMENCLATURE: SCREW,CAP,HEXAGON H:-:PRICE: $2.75:-:UNIQUE MODS: NO:-:PROPRIETARILY MFG FOR OEM: NO:-: :-: :-: :-:NSN: 5305016005871 :-: NHA: MIL-001-730 :-: NHA NSN: 3830016180157</v>
      </c>
      <c r="G269" s="8" t="str">
        <f>IF([1]All!$B270="","",[1]All!$B270)</f>
        <v xml:space="preserve">BPP2 </v>
      </c>
      <c r="H269" s="8"/>
      <c r="I269" s="8" t="str">
        <f>IF([1]All!$D270=0,"",[1]All!$D270)</f>
        <v>D</v>
      </c>
      <c r="J269" s="8" t="str">
        <f>IF([1]All!$E270=0,"",[1]All!$E270)</f>
        <v>0UJB5</v>
      </c>
      <c r="K269" s="8" t="s">
        <v>209</v>
      </c>
      <c r="L269" s="11" t="str">
        <f>IF([1]All!$L270=0,"",[1]All!$L270)</f>
        <v>SCREW,CAP,HEXAGON H</v>
      </c>
      <c r="M269" s="7" t="str">
        <f>IF([1]All!$AJ270=0,"",[1]All!$AJ270)</f>
        <v xml:space="preserve">BN6E </v>
      </c>
      <c r="N269" s="7" t="str">
        <f>IF([1]All!$R270=0,"",[1]All!$R270)</f>
        <v>5305</v>
      </c>
      <c r="O269" s="7" t="str">
        <f>IF([1]All!$S270=0,"",[1]All!$S270)</f>
        <v>016005871</v>
      </c>
      <c r="P269" s="7" t="str">
        <f>IF([1]All!$V270=0,"",[1]All!$V270)</f>
        <v>0000000275</v>
      </c>
      <c r="Q269" s="3" t="str">
        <f t="shared" si="29"/>
        <v>$2.75</v>
      </c>
      <c r="R269" s="8" t="str">
        <f>IF([1]All!$F270=0,"",[1]All!$F270)</f>
        <v>MIL-001-762</v>
      </c>
    </row>
    <row r="270" spans="1:18">
      <c r="A270" s="7"/>
      <c r="B270" s="3">
        <f t="shared" si="24"/>
        <v>68</v>
      </c>
      <c r="C270" s="3" t="str">
        <f t="shared" si="25"/>
        <v>D</v>
      </c>
      <c r="D270" s="9" t="str">
        <f t="shared" si="26"/>
        <v>MIL-001-197</v>
      </c>
      <c r="E270" s="3" t="str">
        <f t="shared" si="27"/>
        <v>BPVY  MIL-001-197</v>
      </c>
      <c r="F270" s="10" t="str">
        <f t="shared" si="28"/>
        <v>PCCN: CRGARM:-:PLISN: BPVY :-:PCC: TIT :-: CAGE: 0UJB5:-:PART NUMBER: MIL-001-197:-:NOMENCLATURE: WASHER,FLAT:-:PRICE: $1.13:-:UNIQUE MODS: NO:-:PROPRIETARILY MFG FOR OEM: NO:-: :-: :-: :-:NSN: 5310015738816 :-: NHA: MIL-001-730 :-: NHA NSN: 3830016180157</v>
      </c>
      <c r="G270" s="8" t="str">
        <f>IF([1]All!$B271="","",[1]All!$B271)</f>
        <v xml:space="preserve">BPVY </v>
      </c>
      <c r="H270" s="8"/>
      <c r="I270" s="8" t="str">
        <f>IF([1]All!$D271=0,"",[1]All!$D271)</f>
        <v>D</v>
      </c>
      <c r="J270" s="8" t="str">
        <f>IF([1]All!$E271=0,"",[1]All!$E271)</f>
        <v>0UJB5</v>
      </c>
      <c r="K270" s="8" t="s">
        <v>198</v>
      </c>
      <c r="L270" s="11" t="str">
        <f>IF([1]All!$L271=0,"",[1]All!$L271)</f>
        <v>WASHER,FLAT</v>
      </c>
      <c r="M270" s="7" t="str">
        <f>IF([1]All!$AJ271=0,"",[1]All!$AJ271)</f>
        <v xml:space="preserve">BN6E </v>
      </c>
      <c r="N270" s="7" t="str">
        <f>IF([1]All!$R271=0,"",[1]All!$R271)</f>
        <v>5310</v>
      </c>
      <c r="O270" s="7" t="str">
        <f>IF([1]All!$S271=0,"",[1]All!$S271)</f>
        <v>015738816</v>
      </c>
      <c r="P270" s="7" t="str">
        <f>IF([1]All!$V271=0,"",[1]All!$V271)</f>
        <v>0000000113</v>
      </c>
      <c r="Q270" s="3" t="str">
        <f t="shared" si="29"/>
        <v>$1.13</v>
      </c>
      <c r="R270" s="8" t="str">
        <f>IF([1]All!$F271=0,"",[1]All!$F271)</f>
        <v>MIL-001-197</v>
      </c>
    </row>
    <row r="271" spans="1:18">
      <c r="A271" s="7"/>
      <c r="B271" s="3">
        <f t="shared" si="24"/>
        <v>68</v>
      </c>
      <c r="C271" s="3" t="str">
        <f t="shared" si="25"/>
        <v>D</v>
      </c>
      <c r="D271" s="9" t="str">
        <f t="shared" si="26"/>
        <v>91102A770</v>
      </c>
      <c r="E271" s="3" t="str">
        <f t="shared" si="27"/>
        <v>BP1U  91102A770</v>
      </c>
      <c r="F271" s="10" t="str">
        <f t="shared" si="28"/>
        <v>PCCN: CRGARM:-:PLISN: BP1U :-:PCC: TIT :-: CAGE: 39428:-:PART NUMBER: 91102A770:-:NOMENCLATURE: WASHER,LOCK:-:PRICE: $0.12:-:UNIQUE MODS: NO:-:PROPRIETARILY MFG FOR OEM: NO:-: :-: :-: :-:NSN: 5310015335500 :-: NHA: MIL-001-730 :-: NHA NSN: 3830016180157</v>
      </c>
      <c r="G271" s="8" t="str">
        <f>IF([1]All!$B272="","",[1]All!$B272)</f>
        <v xml:space="preserve">BP1U </v>
      </c>
      <c r="H271" s="8"/>
      <c r="I271" s="8" t="str">
        <f>IF([1]All!$D272=0,"",[1]All!$D272)</f>
        <v>D</v>
      </c>
      <c r="J271" s="8" t="str">
        <f>IF([1]All!$E272=0,"",[1]All!$E272)</f>
        <v>39428</v>
      </c>
      <c r="K271" s="8" t="s">
        <v>199</v>
      </c>
      <c r="L271" s="11" t="str">
        <f>IF([1]All!$L272=0,"",[1]All!$L272)</f>
        <v>WASHER,LOCK</v>
      </c>
      <c r="M271" s="7" t="str">
        <f>IF([1]All!$AJ272=0,"",[1]All!$AJ272)</f>
        <v xml:space="preserve">BN6E </v>
      </c>
      <c r="N271" s="7" t="str">
        <f>IF([1]All!$R272=0,"",[1]All!$R272)</f>
        <v>5310</v>
      </c>
      <c r="O271" s="7" t="str">
        <f>IF([1]All!$S272=0,"",[1]All!$S272)</f>
        <v>015335500</v>
      </c>
      <c r="P271" s="7" t="str">
        <f>IF([1]All!$V272=0,"",[1]All!$V272)</f>
        <v>0000000012</v>
      </c>
      <c r="Q271" s="3" t="str">
        <f t="shared" si="29"/>
        <v>$0.12</v>
      </c>
      <c r="R271" s="8" t="str">
        <f>IF([1]All!$F272=0,"",[1]All!$F272)</f>
        <v>91102A770</v>
      </c>
    </row>
    <row r="272" spans="1:18">
      <c r="A272" s="7"/>
      <c r="B272" s="3">
        <f t="shared" si="24"/>
        <v>68</v>
      </c>
      <c r="C272" s="3" t="str">
        <f t="shared" si="25"/>
        <v>D</v>
      </c>
      <c r="D272" s="9" t="str">
        <f t="shared" si="26"/>
        <v>0169238</v>
      </c>
      <c r="E272" s="3" t="str">
        <f t="shared" si="27"/>
        <v>BP7Q  0169238</v>
      </c>
      <c r="F272" s="10" t="str">
        <f t="shared" si="28"/>
        <v>PCCN: CRGARM:-:PLISN: BP7Q :-:PCC: TIT :-: CAGE: 0Y3H3:-:PART NUMBER: 0169238:-:NOMENCLATURE: NUT,PLAIN,HEXAGON:-:PRICE: $0.89:-:UNIQUE MODS: NO:-:PROPRIETARILY MFG FOR OEM: NO:-: :-: :-: :-:NSN: 5310016005305 :-: NHA: MIL-001-730 :-: NHA NSN: 3830016180157</v>
      </c>
      <c r="G272" s="8" t="str">
        <f>IF([1]All!$B273="","",[1]All!$B273)</f>
        <v xml:space="preserve">BP7Q </v>
      </c>
      <c r="H272" s="8"/>
      <c r="I272" s="8" t="str">
        <f>IF([1]All!$D273=0,"",[1]All!$D273)</f>
        <v>D</v>
      </c>
      <c r="J272" s="8" t="str">
        <f>IF([1]All!$E273=0,"",[1]All!$E273)</f>
        <v>0Y3H3</v>
      </c>
      <c r="K272" s="8" t="s">
        <v>200</v>
      </c>
      <c r="L272" s="11" t="str">
        <f>IF([1]All!$L273=0,"",[1]All!$L273)</f>
        <v>NUT,PLAIN,HEXAGON</v>
      </c>
      <c r="M272" s="7" t="str">
        <f>IF([1]All!$AJ273=0,"",[1]All!$AJ273)</f>
        <v xml:space="preserve">BN6E </v>
      </c>
      <c r="N272" s="7" t="str">
        <f>IF([1]All!$R273=0,"",[1]All!$R273)</f>
        <v>5310</v>
      </c>
      <c r="O272" s="7" t="str">
        <f>IF([1]All!$S273=0,"",[1]All!$S273)</f>
        <v>016005305</v>
      </c>
      <c r="P272" s="7" t="str">
        <f>IF([1]All!$V273=0,"",[1]All!$V273)</f>
        <v>0000000089</v>
      </c>
      <c r="Q272" s="3" t="str">
        <f t="shared" si="29"/>
        <v>$0.89</v>
      </c>
      <c r="R272" s="8" t="str">
        <f>IF([1]All!$F273=0,"",[1]All!$F273)</f>
        <v>0169238</v>
      </c>
    </row>
    <row r="273" spans="1:18">
      <c r="A273" s="7"/>
      <c r="B273" s="3">
        <f t="shared" si="24"/>
        <v>68</v>
      </c>
      <c r="C273" s="3" t="str">
        <f t="shared" si="25"/>
        <v>D</v>
      </c>
      <c r="D273" s="9" t="str">
        <f t="shared" si="26"/>
        <v>MIL-001-729</v>
      </c>
      <c r="E273" s="3" t="str">
        <f t="shared" si="27"/>
        <v>BQDL  MIL-001-729</v>
      </c>
      <c r="F273" s="10" t="str">
        <f t="shared" si="28"/>
        <v>PCCN: CRGARM:-:PLISN: BQDL :-:PCC: TIT :-: CAGE: 0UJB5:-:PART NUMBER: MIL-001-729:-:NOMENCLATURE: RAKE,ROCK AND ROOT,:-:PRICE: $4468.07:-:UNIQUE MODS: NO:-:PROPRIETARILY MFG FOR OEM: NO:-: :-: :-: :-:NSN: 3830016180156 :-: NHA: MIL-001-730 :-: NHA NSN: 3830016180157</v>
      </c>
      <c r="G273" s="8" t="str">
        <f>IF([1]All!$B274="","",[1]All!$B274)</f>
        <v xml:space="preserve">BQDL </v>
      </c>
      <c r="H273" s="8"/>
      <c r="I273" s="8" t="str">
        <f>IF([1]All!$D274=0,"",[1]All!$D274)</f>
        <v>D</v>
      </c>
      <c r="J273" s="8" t="str">
        <f>IF([1]All!$E274=0,"",[1]All!$E274)</f>
        <v>0UJB5</v>
      </c>
      <c r="K273" s="8" t="s">
        <v>210</v>
      </c>
      <c r="L273" s="11" t="str">
        <f>IF([1]All!$L274=0,"",[1]All!$L274)</f>
        <v>RAKE,ROCK AND ROOT,</v>
      </c>
      <c r="M273" s="7" t="str">
        <f>IF([1]All!$AJ274=0,"",[1]All!$AJ274)</f>
        <v xml:space="preserve">BN6E </v>
      </c>
      <c r="N273" s="7" t="str">
        <f>IF([1]All!$R274=0,"",[1]All!$R274)</f>
        <v>3830</v>
      </c>
      <c r="O273" s="7" t="str">
        <f>IF([1]All!$S274=0,"",[1]All!$S274)</f>
        <v>016180156</v>
      </c>
      <c r="P273" s="7" t="str">
        <f>IF([1]All!$V274=0,"",[1]All!$V274)</f>
        <v>0000446807</v>
      </c>
      <c r="Q273" s="3" t="str">
        <f t="shared" si="29"/>
        <v>$4468.07</v>
      </c>
      <c r="R273" s="8" t="str">
        <f>IF([1]All!$F274=0,"",[1]All!$F274)</f>
        <v>MIL-001-729</v>
      </c>
    </row>
    <row r="274" spans="1:18">
      <c r="A274" s="7"/>
      <c r="B274" s="3">
        <f t="shared" si="24"/>
        <v>69</v>
      </c>
      <c r="C274" s="3" t="str">
        <f t="shared" si="25"/>
        <v>E</v>
      </c>
      <c r="D274" s="9" t="str">
        <f t="shared" si="26"/>
        <v>MIL-001-003</v>
      </c>
      <c r="E274" s="3" t="str">
        <f t="shared" si="27"/>
        <v>BQKG  MIL-001-003</v>
      </c>
      <c r="F274" s="10" t="str">
        <f t="shared" si="28"/>
        <v>PCCN: CRGARM:-:PLISN: BQKG :-:PCC: TIT :-: CAGE: 0UJB5:-:PART NUMBER: MIL-001-003:-:NOMENCLATURE: PLATE,MOUNTING:-:PRICE: $386.01:-:UNIQUE MODS: NO:-:PROPRIETARILY MFG FOR OEM: NO:-: :-: :-: :-:NSN: 5340015662627 :-: NHA: MIL-001-729 :-: NHA NSN: 3830016180156</v>
      </c>
      <c r="G274" s="8" t="str">
        <f>IF([1]All!$B275="","",[1]All!$B275)</f>
        <v xml:space="preserve">BQKG </v>
      </c>
      <c r="H274" s="8"/>
      <c r="I274" s="8" t="str">
        <f>IF([1]All!$D275=0,"",[1]All!$D275)</f>
        <v>E</v>
      </c>
      <c r="J274" s="8" t="str">
        <f>IF([1]All!$E275=0,"",[1]All!$E275)</f>
        <v>0UJB5</v>
      </c>
      <c r="K274" s="8" t="s">
        <v>211</v>
      </c>
      <c r="L274" s="11" t="str">
        <f>IF([1]All!$L275=0,"",[1]All!$L275)</f>
        <v>PLATE,MOUNTING</v>
      </c>
      <c r="M274" s="7" t="str">
        <f>IF([1]All!$AJ275=0,"",[1]All!$AJ275)</f>
        <v xml:space="preserve">BQDL </v>
      </c>
      <c r="N274" s="7" t="str">
        <f>IF([1]All!$R275=0,"",[1]All!$R275)</f>
        <v>5340</v>
      </c>
      <c r="O274" s="7" t="str">
        <f>IF([1]All!$S275=0,"",[1]All!$S275)</f>
        <v>015662627</v>
      </c>
      <c r="P274" s="7" t="str">
        <f>IF([1]All!$V275=0,"",[1]All!$V275)</f>
        <v>0000038601</v>
      </c>
      <c r="Q274" s="3" t="str">
        <f t="shared" si="29"/>
        <v>$386.01</v>
      </c>
      <c r="R274" s="8" t="str">
        <f>IF([1]All!$F275=0,"",[1]All!$F275)</f>
        <v>MIL-001-003</v>
      </c>
    </row>
    <row r="275" spans="1:18">
      <c r="A275" s="7"/>
      <c r="B275" s="3">
        <f t="shared" si="24"/>
        <v>69</v>
      </c>
      <c r="C275" s="3" t="str">
        <f t="shared" si="25"/>
        <v>E</v>
      </c>
      <c r="D275" s="9" t="str">
        <f t="shared" si="26"/>
        <v>MIL-001-004</v>
      </c>
      <c r="E275" s="3" t="str">
        <f t="shared" si="27"/>
        <v>BQRC  MIL-001-004</v>
      </c>
      <c r="F275" s="10" t="str">
        <f t="shared" si="28"/>
        <v>PCCN: CRGARM:-:PLISN: BQRC :-:PCC: TIT :-: CAGE: 0UJB5:-:PART NUMBER: MIL-001-004:-:NOMENCLATURE: PLATE,MOUNTING:-:PRICE: $142.35:-:UNIQUE MODS: NO:-:PROPRIETARILY MFG FOR OEM: NO:-: :-: :-: :-:NSN: 5340015662449 :-: NHA: MIL-001-729 :-: NHA NSN: 3830016180156</v>
      </c>
      <c r="G275" s="8" t="str">
        <f>IF([1]All!$B276="","",[1]All!$B276)</f>
        <v xml:space="preserve">BQRC </v>
      </c>
      <c r="H275" s="8"/>
      <c r="I275" s="8" t="str">
        <f>IF([1]All!$D276=0,"",[1]All!$D276)</f>
        <v>E</v>
      </c>
      <c r="J275" s="8" t="str">
        <f>IF([1]All!$E276=0,"",[1]All!$E276)</f>
        <v>0UJB5</v>
      </c>
      <c r="K275" s="8" t="s">
        <v>212</v>
      </c>
      <c r="L275" s="11" t="str">
        <f>IF([1]All!$L276=0,"",[1]All!$L276)</f>
        <v>PLATE,MOUNTING</v>
      </c>
      <c r="M275" s="7" t="str">
        <f>IF([1]All!$AJ276=0,"",[1]All!$AJ276)</f>
        <v xml:space="preserve">BQDL </v>
      </c>
      <c r="N275" s="7" t="str">
        <f>IF([1]All!$R276=0,"",[1]All!$R276)</f>
        <v>5340</v>
      </c>
      <c r="O275" s="7" t="str">
        <f>IF([1]All!$S276=0,"",[1]All!$S276)</f>
        <v>015662449</v>
      </c>
      <c r="P275" s="7" t="str">
        <f>IF([1]All!$V276=0,"",[1]All!$V276)</f>
        <v>0000014235</v>
      </c>
      <c r="Q275" s="3" t="str">
        <f t="shared" si="29"/>
        <v>$142.35</v>
      </c>
      <c r="R275" s="8" t="str">
        <f>IF([1]All!$F276=0,"",[1]All!$F276)</f>
        <v>MIL-001-004</v>
      </c>
    </row>
    <row r="276" spans="1:18">
      <c r="A276" s="7"/>
      <c r="B276" s="3">
        <f t="shared" si="24"/>
        <v>69</v>
      </c>
      <c r="C276" s="3" t="str">
        <f t="shared" si="25"/>
        <v>E</v>
      </c>
      <c r="D276" s="9" t="str">
        <f t="shared" si="26"/>
        <v>MIL-001-007</v>
      </c>
      <c r="E276" s="3" t="str">
        <f t="shared" si="27"/>
        <v>BQW8  MIL-001-007</v>
      </c>
      <c r="F276" s="10" t="str">
        <f t="shared" si="28"/>
        <v>PCCN: CRGARM:-:PLISN: BQW8 :-:PCC: TIT :-: CAGE: 0UJB5:-:PART NUMBER: MIL-001-007:-:NOMENCLATURE: SPACER,PLATE:-:PRICE: $54.40:-:UNIQUE MODS: NO:-:PROPRIETARILY MFG FOR OEM: NO:-: :-: :-: :-:NSN: 5365015660707 :-: NHA: MIL-001-729 :-: NHA NSN: 3830016180156</v>
      </c>
      <c r="G276" s="8" t="str">
        <f>IF([1]All!$B277="","",[1]All!$B277)</f>
        <v xml:space="preserve">BQW8 </v>
      </c>
      <c r="H276" s="8"/>
      <c r="I276" s="8" t="str">
        <f>IF([1]All!$D277=0,"",[1]All!$D277)</f>
        <v>E</v>
      </c>
      <c r="J276" s="8" t="str">
        <f>IF([1]All!$E277=0,"",[1]All!$E277)</f>
        <v>0UJB5</v>
      </c>
      <c r="K276" s="8" t="s">
        <v>213</v>
      </c>
      <c r="L276" s="11" t="str">
        <f>IF([1]All!$L277=0,"",[1]All!$L277)</f>
        <v>SPACER,PLATE</v>
      </c>
      <c r="M276" s="7" t="str">
        <f>IF([1]All!$AJ277=0,"",[1]All!$AJ277)</f>
        <v xml:space="preserve">BQDL </v>
      </c>
      <c r="N276" s="7" t="str">
        <f>IF([1]All!$R277=0,"",[1]All!$R277)</f>
        <v>5365</v>
      </c>
      <c r="O276" s="7" t="str">
        <f>IF([1]All!$S277=0,"",[1]All!$S277)</f>
        <v>015660707</v>
      </c>
      <c r="P276" s="7" t="str">
        <f>IF([1]All!$V277=0,"",[1]All!$V277)</f>
        <v>0000005440</v>
      </c>
      <c r="Q276" s="3" t="str">
        <f t="shared" si="29"/>
        <v>$54.40</v>
      </c>
      <c r="R276" s="8" t="str">
        <f>IF([1]All!$F277=0,"",[1]All!$F277)</f>
        <v>MIL-001-007</v>
      </c>
    </row>
    <row r="277" spans="1:18">
      <c r="A277" s="7"/>
      <c r="B277" s="3">
        <f t="shared" si="24"/>
        <v>69</v>
      </c>
      <c r="C277" s="3" t="str">
        <f t="shared" si="25"/>
        <v>E</v>
      </c>
      <c r="D277" s="9" t="str">
        <f t="shared" si="26"/>
        <v>MIL-001-727</v>
      </c>
      <c r="E277" s="3" t="str">
        <f t="shared" si="27"/>
        <v>BQ24  MIL-001-727</v>
      </c>
      <c r="F277" s="10" t="str">
        <f t="shared" si="28"/>
        <v>PCCN: CRGARM:-:PLISN: BQ24 :-:PCC: TIT :-: CAGE: 0UJB5:-:PART NUMBER: MIL-001-727:-:NOMENCLATURE: RAKE:-:PRICE: $2506.75:-:UNIQUE MODS: NO:-:PROPRIETARILY MFG FOR OEM: NO:-: :-: :-: :-: :-: NHA: MIL-001-729 :-: NHA NSN: 3830016180156</v>
      </c>
      <c r="G277" s="8" t="str">
        <f>IF([1]All!$B278="","",[1]All!$B278)</f>
        <v xml:space="preserve">BQ24 </v>
      </c>
      <c r="H277" s="8"/>
      <c r="I277" s="8" t="str">
        <f>IF([1]All!$D278=0,"",[1]All!$D278)</f>
        <v>E</v>
      </c>
      <c r="J277" s="8" t="str">
        <f>IF([1]All!$E278=0,"",[1]All!$E278)</f>
        <v>0UJB5</v>
      </c>
      <c r="K277" s="8" t="s">
        <v>214</v>
      </c>
      <c r="L277" s="11" t="str">
        <f>IF([1]All!$L278=0,"",[1]All!$L278)</f>
        <v>RAKE</v>
      </c>
      <c r="M277" s="7" t="str">
        <f>IF([1]All!$AJ278=0,"",[1]All!$AJ278)</f>
        <v xml:space="preserve">BQDL </v>
      </c>
      <c r="N277" s="7" t="str">
        <f>IF([1]All!$R278=0,"",[1]All!$R278)</f>
        <v/>
      </c>
      <c r="O277" s="7" t="str">
        <f>IF([1]All!$S278=0,"",[1]All!$S278)</f>
        <v/>
      </c>
      <c r="P277" s="7" t="str">
        <f>IF([1]All!$V278=0,"",[1]All!$V278)</f>
        <v>0000250675</v>
      </c>
      <c r="Q277" s="3" t="str">
        <f t="shared" si="29"/>
        <v>$2506.75</v>
      </c>
      <c r="R277" s="8" t="str">
        <f>IF([1]All!$F278=0,"",[1]All!$F278)</f>
        <v>MIL-001-727</v>
      </c>
    </row>
    <row r="278" spans="1:18">
      <c r="A278" s="7"/>
      <c r="B278" s="3">
        <f t="shared" si="24"/>
        <v>69</v>
      </c>
      <c r="C278" s="3" t="str">
        <f t="shared" si="25"/>
        <v>E</v>
      </c>
      <c r="D278" s="9" t="str">
        <f t="shared" si="26"/>
        <v>14228</v>
      </c>
      <c r="E278" s="3" t="str">
        <f t="shared" si="27"/>
        <v>BQ80  14228</v>
      </c>
      <c r="F278" s="10" t="str">
        <f t="shared" si="28"/>
        <v>PCCN: CRGARM:-:PLISN: BQ80 :-:PCC: TIT :-: CAGE: 0Y3H3:-:PART NUMBER: 14228:-:NOMENCLATURE: SCREW,CAP,HEXAGON H:-:PRICE: $5.32:-:UNIQUE MODS: NO:-:PROPRIETARILY MFG FOR OEM: NO:-: :-: :-: :-:NSN: 5305016005320 :-: NHA: MIL-001-729 :-: NHA NSN: 3830016180156</v>
      </c>
      <c r="G278" s="8" t="str">
        <f>IF([1]All!$B279="","",[1]All!$B279)</f>
        <v xml:space="preserve">BQ80 </v>
      </c>
      <c r="H278" s="8"/>
      <c r="I278" s="8" t="str">
        <f>IF([1]All!$D279=0,"",[1]All!$D279)</f>
        <v>E</v>
      </c>
      <c r="J278" s="8" t="str">
        <f>IF([1]All!$E279=0,"",[1]All!$E279)</f>
        <v>0Y3H3</v>
      </c>
      <c r="K278" s="8" t="s">
        <v>399</v>
      </c>
      <c r="L278" s="11" t="str">
        <f>IF([1]All!$L279=0,"",[1]All!$L279)</f>
        <v>SCREW,CAP,HEXAGON H</v>
      </c>
      <c r="M278" s="7" t="str">
        <f>IF([1]All!$AJ279=0,"",[1]All!$AJ279)</f>
        <v xml:space="preserve">BQDL </v>
      </c>
      <c r="N278" s="7" t="str">
        <f>IF([1]All!$R279=0,"",[1]All!$R279)</f>
        <v>5305</v>
      </c>
      <c r="O278" s="7" t="str">
        <f>IF([1]All!$S279=0,"",[1]All!$S279)</f>
        <v>016005320</v>
      </c>
      <c r="P278" s="7" t="str">
        <f>IF([1]All!$V279=0,"",[1]All!$V279)</f>
        <v>0000000532</v>
      </c>
      <c r="Q278" s="3" t="str">
        <f t="shared" si="29"/>
        <v>$5.32</v>
      </c>
      <c r="R278" s="8" t="str">
        <f>IF([1]All!$F279=0,"",[1]All!$F279)</f>
        <v>14228</v>
      </c>
    </row>
    <row r="279" spans="1:18">
      <c r="A279" s="7"/>
      <c r="B279" s="3">
        <f t="shared" si="24"/>
        <v>69</v>
      </c>
      <c r="C279" s="3" t="str">
        <f t="shared" si="25"/>
        <v>E</v>
      </c>
      <c r="D279" s="9" t="str">
        <f t="shared" si="26"/>
        <v>90126A033</v>
      </c>
      <c r="E279" s="3" t="str">
        <f t="shared" si="27"/>
        <v>BREW  90126A033</v>
      </c>
      <c r="F279" s="10" t="str">
        <f t="shared" si="28"/>
        <v>PCCN: CRGARM:-:PLISN: BREW :-:PCC: TIT :-: CAGE: 39428:-:PART NUMBER: 90126A033:-:NOMENCLATURE: WASHER,FLAT:-:PRICE: $0.06:-:UNIQUE MODS: NO:-:PROPRIETARILY MFG FOR OEM: NO:-: :-: :-: :-:NSN: 5310015088932 :-: NHA: MIL-001-729 :-: NHA NSN: 3830016180156</v>
      </c>
      <c r="G279" s="8" t="str">
        <f>IF([1]All!$B280="","",[1]All!$B280)</f>
        <v xml:space="preserve">BREW </v>
      </c>
      <c r="H279" s="8"/>
      <c r="I279" s="8" t="str">
        <f>IF([1]All!$D280=0,"",[1]All!$D280)</f>
        <v>E</v>
      </c>
      <c r="J279" s="8" t="str">
        <f>IF([1]All!$E280=0,"",[1]All!$E280)</f>
        <v>39428</v>
      </c>
      <c r="K279" s="8" t="s">
        <v>215</v>
      </c>
      <c r="L279" s="11" t="str">
        <f>IF([1]All!$L280=0,"",[1]All!$L280)</f>
        <v>WASHER,FLAT</v>
      </c>
      <c r="M279" s="7" t="str">
        <f>IF([1]All!$AJ280=0,"",[1]All!$AJ280)</f>
        <v xml:space="preserve">BQDL </v>
      </c>
      <c r="N279" s="7" t="str">
        <f>IF([1]All!$R280=0,"",[1]All!$R280)</f>
        <v>5310</v>
      </c>
      <c r="O279" s="7" t="str">
        <f>IF([1]All!$S280=0,"",[1]All!$S280)</f>
        <v>015088932</v>
      </c>
      <c r="P279" s="7" t="str">
        <f>IF([1]All!$V280=0,"",[1]All!$V280)</f>
        <v>0000000006</v>
      </c>
      <c r="Q279" s="3" t="str">
        <f t="shared" si="29"/>
        <v>$0.06</v>
      </c>
      <c r="R279" s="8" t="str">
        <f>IF([1]All!$F280=0,"",[1]All!$F280)</f>
        <v>90126A033</v>
      </c>
    </row>
    <row r="280" spans="1:18">
      <c r="A280" s="7"/>
      <c r="B280" s="3">
        <f t="shared" si="24"/>
        <v>69</v>
      </c>
      <c r="C280" s="3" t="str">
        <f t="shared" si="25"/>
        <v>E</v>
      </c>
      <c r="D280" s="9" t="str">
        <f t="shared" si="26"/>
        <v>91102A770</v>
      </c>
      <c r="E280" s="3" t="str">
        <f t="shared" si="27"/>
        <v>BRLS  91102A770</v>
      </c>
      <c r="F280" s="10" t="str">
        <f t="shared" si="28"/>
        <v>PCCN: CRGARM:-:PLISN: BRLS :-:PCC: TIT :-: CAGE: 39428:-:PART NUMBER: 91102A770:-:NOMENCLATURE: WASHER,LOCK:-:PRICE: $0.12:-:UNIQUE MODS: NO:-:PROPRIETARILY MFG FOR OEM: NO:-: :-: :-: :-:NSN: 5310015335500 :-: NHA: MIL-001-729 :-: NHA NSN: 3830016180156</v>
      </c>
      <c r="G280" s="8" t="str">
        <f>IF([1]All!$B281="","",[1]All!$B281)</f>
        <v xml:space="preserve">BRLS </v>
      </c>
      <c r="H280" s="8"/>
      <c r="I280" s="8" t="str">
        <f>IF([1]All!$D281=0,"",[1]All!$D281)</f>
        <v>E</v>
      </c>
      <c r="J280" s="8" t="str">
        <f>IF([1]All!$E281=0,"",[1]All!$E281)</f>
        <v>39428</v>
      </c>
      <c r="K280" s="8" t="s">
        <v>199</v>
      </c>
      <c r="L280" s="11" t="str">
        <f>IF([1]All!$L281=0,"",[1]All!$L281)</f>
        <v>WASHER,LOCK</v>
      </c>
      <c r="M280" s="7" t="str">
        <f>IF([1]All!$AJ281=0,"",[1]All!$AJ281)</f>
        <v xml:space="preserve">BQDL </v>
      </c>
      <c r="N280" s="7" t="str">
        <f>IF([1]All!$R281=0,"",[1]All!$R281)</f>
        <v>5310</v>
      </c>
      <c r="O280" s="7" t="str">
        <f>IF([1]All!$S281=0,"",[1]All!$S281)</f>
        <v>015335500</v>
      </c>
      <c r="P280" s="7" t="str">
        <f>IF([1]All!$V281=0,"",[1]All!$V281)</f>
        <v>0000000012</v>
      </c>
      <c r="Q280" s="3" t="str">
        <f t="shared" si="29"/>
        <v>$0.12</v>
      </c>
      <c r="R280" s="8" t="str">
        <f>IF([1]All!$F281=0,"",[1]All!$F281)</f>
        <v>91102A770</v>
      </c>
    </row>
    <row r="281" spans="1:18">
      <c r="A281" s="7"/>
      <c r="B281" s="3">
        <f t="shared" si="24"/>
        <v>69</v>
      </c>
      <c r="C281" s="3" t="str">
        <f t="shared" si="25"/>
        <v>E</v>
      </c>
      <c r="D281" s="9" t="str">
        <f t="shared" si="26"/>
        <v>91286A344</v>
      </c>
      <c r="E281" s="3" t="str">
        <f t="shared" si="27"/>
        <v>BRSN  91286A344</v>
      </c>
      <c r="F281" s="10" t="str">
        <f t="shared" si="28"/>
        <v>PCCN: CRGARM:-:PLISN: BRSN :-:PCC: TIT :-: CAGE: 39428:-:PART NUMBER: 91286A344:-:NOMENCLATURE: BOLT,MACHINE:-:PRICE: $2.28:-:UNIQUE MODS: NO:-:PROPRIETARILY MFG FOR OEM: NO:-: :-: :-: :-:NSN: 5306015192541 :-: NHA: MIL-001-729 :-: NHA NSN: 3830016180156</v>
      </c>
      <c r="G281" s="8" t="str">
        <f>IF([1]All!$B282="","",[1]All!$B282)</f>
        <v xml:space="preserve">BRSN </v>
      </c>
      <c r="H281" s="8"/>
      <c r="I281" s="8" t="str">
        <f>IF([1]All!$D282=0,"",[1]All!$D282)</f>
        <v>E</v>
      </c>
      <c r="J281" s="8" t="str">
        <f>IF([1]All!$E282=0,"",[1]All!$E282)</f>
        <v>39428</v>
      </c>
      <c r="K281" s="8" t="s">
        <v>216</v>
      </c>
      <c r="L281" s="11" t="str">
        <f>IF([1]All!$L282=0,"",[1]All!$L282)</f>
        <v>BOLT,MACHINE</v>
      </c>
      <c r="M281" s="7" t="str">
        <f>IF([1]All!$AJ282=0,"",[1]All!$AJ282)</f>
        <v xml:space="preserve">BQDL </v>
      </c>
      <c r="N281" s="7" t="str">
        <f>IF([1]All!$R282=0,"",[1]All!$R282)</f>
        <v>5306</v>
      </c>
      <c r="O281" s="7" t="str">
        <f>IF([1]All!$S282=0,"",[1]All!$S282)</f>
        <v>015192541</v>
      </c>
      <c r="P281" s="7" t="str">
        <f>IF([1]All!$V282=0,"",[1]All!$V282)</f>
        <v>0000000228</v>
      </c>
      <c r="Q281" s="3" t="str">
        <f t="shared" si="29"/>
        <v>$2.28</v>
      </c>
      <c r="R281" s="8" t="str">
        <f>IF([1]All!$F282=0,"",[1]All!$F282)</f>
        <v>91286A344</v>
      </c>
    </row>
    <row r="282" spans="1:18">
      <c r="A282" s="7"/>
      <c r="B282" s="3">
        <f t="shared" si="24"/>
        <v>69</v>
      </c>
      <c r="C282" s="3" t="str">
        <f t="shared" si="25"/>
        <v>E</v>
      </c>
      <c r="D282" s="9" t="str">
        <f t="shared" si="26"/>
        <v>0169238</v>
      </c>
      <c r="E282" s="3" t="str">
        <f t="shared" si="27"/>
        <v>BRYJ  0169238</v>
      </c>
      <c r="F282" s="10" t="str">
        <f t="shared" si="28"/>
        <v>PCCN: CRGARM:-:PLISN: BRYJ :-:PCC: TIT :-: CAGE: 0Y3H3:-:PART NUMBER: 0169238:-:NOMENCLATURE: NUT,PLAIN,HEXAGON:-:PRICE: $0.89:-:UNIQUE MODS: NO:-:PROPRIETARILY MFG FOR OEM: NO:-: :-: :-: :-:NSN: 5310016005305 :-: NHA: MIL-001-729 :-: NHA NSN: 3830016180156</v>
      </c>
      <c r="G282" s="8" t="str">
        <f>IF([1]All!$B283="","",[1]All!$B283)</f>
        <v xml:space="preserve">BRYJ </v>
      </c>
      <c r="H282" s="8"/>
      <c r="I282" s="8" t="str">
        <f>IF([1]All!$D283=0,"",[1]All!$D283)</f>
        <v>E</v>
      </c>
      <c r="J282" s="8" t="str">
        <f>IF([1]All!$E283=0,"",[1]All!$E283)</f>
        <v>0Y3H3</v>
      </c>
      <c r="K282" s="8" t="s">
        <v>200</v>
      </c>
      <c r="L282" s="11" t="str">
        <f>IF([1]All!$L283=0,"",[1]All!$L283)</f>
        <v>NUT,PLAIN,HEXAGON</v>
      </c>
      <c r="M282" s="7" t="str">
        <f>IF([1]All!$AJ283=0,"",[1]All!$AJ283)</f>
        <v xml:space="preserve">BQDL </v>
      </c>
      <c r="N282" s="7" t="str">
        <f>IF([1]All!$R283=0,"",[1]All!$R283)</f>
        <v>5310</v>
      </c>
      <c r="O282" s="7" t="str">
        <f>IF([1]All!$S283=0,"",[1]All!$S283)</f>
        <v>016005305</v>
      </c>
      <c r="P282" s="7" t="str">
        <f>IF([1]All!$V283=0,"",[1]All!$V283)</f>
        <v>0000000089</v>
      </c>
      <c r="Q282" s="3" t="str">
        <f t="shared" si="29"/>
        <v>$0.89</v>
      </c>
      <c r="R282" s="8" t="str">
        <f>IF([1]All!$F283=0,"",[1]All!$F283)</f>
        <v>0169238</v>
      </c>
    </row>
    <row r="283" spans="1:18">
      <c r="A283" s="7"/>
      <c r="B283" s="3">
        <f t="shared" si="24"/>
        <v>69</v>
      </c>
      <c r="C283" s="3" t="str">
        <f t="shared" si="25"/>
        <v>E</v>
      </c>
      <c r="D283" s="9" t="str">
        <f t="shared" si="26"/>
        <v>MIL-001-202</v>
      </c>
      <c r="E283" s="3" t="str">
        <f t="shared" si="27"/>
        <v>BR4E  MIL-001-202</v>
      </c>
      <c r="F283" s="10" t="str">
        <f t="shared" si="28"/>
        <v>PCCN: CRGARM:-:PLISN: BR4E :-:PCC: TIT :-: CAGE: 0UJB5:-:PART NUMBER: MIL-001-202:-:NOMENCLATURE: BOLT,SHOULDER:-:PRICE: $31.58:-:UNIQUE MODS: NO:-:PROPRIETARILY MFG FOR OEM: NO:-: :-: :-: :-:NSN: 5306015738820 :-: NHA: MIL-001-729 :-: NHA NSN: 3830016180156</v>
      </c>
      <c r="G283" s="8" t="str">
        <f>IF([1]All!$B284="","",[1]All!$B284)</f>
        <v xml:space="preserve">BR4E </v>
      </c>
      <c r="H283" s="8"/>
      <c r="I283" s="8" t="str">
        <f>IF([1]All!$D284=0,"",[1]All!$D284)</f>
        <v>E</v>
      </c>
      <c r="J283" s="8" t="str">
        <f>IF([1]All!$E284=0,"",[1]All!$E284)</f>
        <v>0UJB5</v>
      </c>
      <c r="K283" s="8" t="s">
        <v>217</v>
      </c>
      <c r="L283" s="11" t="str">
        <f>IF([1]All!$L284=0,"",[1]All!$L284)</f>
        <v>BOLT,SHOULDER</v>
      </c>
      <c r="M283" s="7" t="str">
        <f>IF([1]All!$AJ284=0,"",[1]All!$AJ284)</f>
        <v xml:space="preserve">BQDL </v>
      </c>
      <c r="N283" s="7" t="str">
        <f>IF([1]All!$R284=0,"",[1]All!$R284)</f>
        <v>5306</v>
      </c>
      <c r="O283" s="7" t="str">
        <f>IF([1]All!$S284=0,"",[1]All!$S284)</f>
        <v>015738820</v>
      </c>
      <c r="P283" s="7" t="str">
        <f>IF([1]All!$V284=0,"",[1]All!$V284)</f>
        <v>0000003158</v>
      </c>
      <c r="Q283" s="3" t="str">
        <f t="shared" si="29"/>
        <v>$31.58</v>
      </c>
      <c r="R283" s="8" t="str">
        <f>IF([1]All!$F284=0,"",[1]All!$F284)</f>
        <v>MIL-001-202</v>
      </c>
    </row>
    <row r="284" spans="1:18">
      <c r="A284" s="7"/>
      <c r="B284" s="3">
        <f t="shared" si="24"/>
        <v>69</v>
      </c>
      <c r="C284" s="3" t="str">
        <f t="shared" si="25"/>
        <v>E</v>
      </c>
      <c r="D284" s="9" t="str">
        <f t="shared" si="26"/>
        <v>MIL-001-331</v>
      </c>
      <c r="E284" s="3" t="str">
        <f t="shared" si="27"/>
        <v>BSAA  MIL-001-331</v>
      </c>
      <c r="F284" s="10" t="str">
        <f t="shared" si="28"/>
        <v>PCCN: CRGARM:-:PLISN: BSAA :-:PCC: TIT :-: CAGE: 0UJB5:-:PART NUMBER: MIL-001-331:-:NOMENCLATURE: WASHER,FLAT:-:PRICE: $1.21:-:UNIQUE MODS: NO:-:PROPRIETARILY MFG FOR OEM: NO:-: :-: :-: :-:NSN: 5310015738807 :-: NHA: MIL-001-729 :-: NHA NSN: 3830016180156</v>
      </c>
      <c r="G284" s="8" t="str">
        <f>IF([1]All!$B285="","",[1]All!$B285)</f>
        <v xml:space="preserve">BSAA </v>
      </c>
      <c r="H284" s="8"/>
      <c r="I284" s="8" t="str">
        <f>IF([1]All!$D285=0,"",[1]All!$D285)</f>
        <v>E</v>
      </c>
      <c r="J284" s="8" t="str">
        <f>IF([1]All!$E285=0,"",[1]All!$E285)</f>
        <v>0UJB5</v>
      </c>
      <c r="K284" s="8" t="s">
        <v>164</v>
      </c>
      <c r="L284" s="11" t="str">
        <f>IF([1]All!$L285=0,"",[1]All!$L285)</f>
        <v>WASHER,FLAT</v>
      </c>
      <c r="M284" s="7" t="str">
        <f>IF([1]All!$AJ285=0,"",[1]All!$AJ285)</f>
        <v xml:space="preserve">BQDL </v>
      </c>
      <c r="N284" s="7" t="str">
        <f>IF([1]All!$R285=0,"",[1]All!$R285)</f>
        <v>5310</v>
      </c>
      <c r="O284" s="7" t="str">
        <f>IF([1]All!$S285=0,"",[1]All!$S285)</f>
        <v>015738807</v>
      </c>
      <c r="P284" s="7" t="str">
        <f>IF([1]All!$V285=0,"",[1]All!$V285)</f>
        <v>0000000121</v>
      </c>
      <c r="Q284" s="3" t="str">
        <f t="shared" si="29"/>
        <v>$1.21</v>
      </c>
      <c r="R284" s="8" t="str">
        <f>IF([1]All!$F285=0,"",[1]All!$F285)</f>
        <v>MIL-001-331</v>
      </c>
    </row>
    <row r="285" spans="1:18">
      <c r="A285" s="7"/>
      <c r="B285" s="3">
        <f t="shared" si="24"/>
        <v>69</v>
      </c>
      <c r="C285" s="3" t="str">
        <f t="shared" si="25"/>
        <v>E</v>
      </c>
      <c r="D285" s="9" t="str">
        <f t="shared" si="26"/>
        <v>58697</v>
      </c>
      <c r="E285" s="3" t="str">
        <f t="shared" si="27"/>
        <v>BSF6  58697</v>
      </c>
      <c r="F285" s="10" t="str">
        <f t="shared" si="28"/>
        <v>PCCN: CRGARM:-:PLISN: BSF6 :-:PCC: TIT :-: CAGE: 0PVE5:-:PART NUMBER: 58697:-:NOMENCLATURE: BOLT,SHOULDER:-:PRICE: $4.70:-:UNIQUE MODS: NO:-:PROPRIETARILY MFG FOR OEM: NO:-: :-: :-: :-:NSN: 5306015659334 :-: NHA: MIL-001-729 :-: NHA NSN: 3830016180156</v>
      </c>
      <c r="G285" s="8" t="str">
        <f>IF([1]All!$B286="","",[1]All!$B286)</f>
        <v xml:space="preserve">BSF6 </v>
      </c>
      <c r="H285" s="8"/>
      <c r="I285" s="8" t="str">
        <f>IF([1]All!$D286=0,"",[1]All!$D286)</f>
        <v>E</v>
      </c>
      <c r="J285" s="8" t="str">
        <f>IF([1]All!$E286=0,"",[1]All!$E286)</f>
        <v>0PVE5</v>
      </c>
      <c r="K285" s="8" t="s">
        <v>179</v>
      </c>
      <c r="L285" s="11" t="str">
        <f>IF([1]All!$L286=0,"",[1]All!$L286)</f>
        <v>BOLT,SHOULDER</v>
      </c>
      <c r="M285" s="7" t="str">
        <f>IF([1]All!$AJ286=0,"",[1]All!$AJ286)</f>
        <v xml:space="preserve">BQDL </v>
      </c>
      <c r="N285" s="7" t="str">
        <f>IF([1]All!$R286=0,"",[1]All!$R286)</f>
        <v>5306</v>
      </c>
      <c r="O285" s="7" t="str">
        <f>IF([1]All!$S286=0,"",[1]All!$S286)</f>
        <v>015659334</v>
      </c>
      <c r="P285" s="7" t="str">
        <f>IF([1]All!$V286=0,"",[1]All!$V286)</f>
        <v>0000000470</v>
      </c>
      <c r="Q285" s="3" t="str">
        <f t="shared" si="29"/>
        <v>$4.70</v>
      </c>
      <c r="R285" s="8" t="str">
        <f>IF([1]All!$F286=0,"",[1]All!$F286)</f>
        <v>58697</v>
      </c>
    </row>
    <row r="286" spans="1:18">
      <c r="A286" s="7"/>
      <c r="B286" s="3">
        <f t="shared" si="24"/>
        <v>69</v>
      </c>
      <c r="C286" s="3" t="str">
        <f t="shared" si="25"/>
        <v>E</v>
      </c>
      <c r="D286" s="9" t="str">
        <f t="shared" si="26"/>
        <v>37578</v>
      </c>
      <c r="E286" s="3" t="str">
        <f t="shared" si="27"/>
        <v>BSM2  37578</v>
      </c>
      <c r="F286" s="10" t="str">
        <f t="shared" si="28"/>
        <v>PCCN: CRGARM:-:PLISN: BSM2 :-:PCC: TIT :-: CAGE: 0Y3H3:-:PART NUMBER: 37578:-:NOMENCLATURE: NUT,SELF-LOCKING,HE:-:PRICE: $1.50:-:UNIQUE MODS: NO:-:PROPRIETARILY MFG FOR OEM: NO:-: :-: :-: :-:NSN: 5310016005330 :-: NHA: MIL-001-729 :-: NHA NSN: 3830016180156</v>
      </c>
      <c r="G286" s="8" t="str">
        <f>IF([1]All!$B287="","",[1]All!$B287)</f>
        <v xml:space="preserve">BSM2 </v>
      </c>
      <c r="H286" s="8"/>
      <c r="I286" s="8" t="str">
        <f>IF([1]All!$D287=0,"",[1]All!$D287)</f>
        <v>E</v>
      </c>
      <c r="J286" s="8" t="str">
        <f>IF([1]All!$E287=0,"",[1]All!$E287)</f>
        <v>0Y3H3</v>
      </c>
      <c r="K286" s="8" t="s">
        <v>218</v>
      </c>
      <c r="L286" s="11" t="str">
        <f>IF([1]All!$L287=0,"",[1]All!$L287)</f>
        <v>NUT,SELF-LOCKING,HE</v>
      </c>
      <c r="M286" s="7" t="str">
        <f>IF([1]All!$AJ287=0,"",[1]All!$AJ287)</f>
        <v xml:space="preserve">BQDL </v>
      </c>
      <c r="N286" s="7" t="str">
        <f>IF([1]All!$R287=0,"",[1]All!$R287)</f>
        <v>5310</v>
      </c>
      <c r="O286" s="7" t="str">
        <f>IF([1]All!$S287=0,"",[1]All!$S287)</f>
        <v>016005330</v>
      </c>
      <c r="P286" s="7" t="str">
        <f>IF([1]All!$V287=0,"",[1]All!$V287)</f>
        <v>0000000150</v>
      </c>
      <c r="Q286" s="3" t="str">
        <f t="shared" si="29"/>
        <v>$1.50</v>
      </c>
      <c r="R286" s="8" t="str">
        <f>IF([1]All!$F287=0,"",[1]All!$F287)</f>
        <v>37578</v>
      </c>
    </row>
    <row r="287" spans="1:18">
      <c r="A287" s="7"/>
      <c r="B287" s="3">
        <f t="shared" si="24"/>
        <v>69</v>
      </c>
      <c r="C287" s="3" t="str">
        <f t="shared" si="25"/>
        <v>E</v>
      </c>
      <c r="D287" s="9" t="str">
        <f t="shared" si="26"/>
        <v>37577</v>
      </c>
      <c r="E287" s="3" t="str">
        <f t="shared" si="27"/>
        <v>BSTY  37577</v>
      </c>
      <c r="F287" s="10" t="str">
        <f t="shared" si="28"/>
        <v>PCCN: CRGARM:-:PLISN: BSTY :-:PCC: TIT :-: CAGE: 0Y3H3:-:PART NUMBER: 37577:-:NOMENCLATURE: NUT,SELF-LOCKING,HE:-:PRICE: $0.61:-:UNIQUE MODS: NO:-:PROPRIETARILY MFG FOR OEM: NO:-: :-: :-: :-:NSN: 5310016005331 :-: NHA: MIL-001-729 :-: NHA NSN: 3830016180156</v>
      </c>
      <c r="G287" s="8" t="str">
        <f>IF([1]All!$B288="","",[1]All!$B288)</f>
        <v xml:space="preserve">BSTY </v>
      </c>
      <c r="H287" s="8"/>
      <c r="I287" s="8" t="str">
        <f>IF([1]All!$D288=0,"",[1]All!$D288)</f>
        <v>E</v>
      </c>
      <c r="J287" s="8" t="str">
        <f>IF([1]All!$E288=0,"",[1]All!$E288)</f>
        <v>0Y3H3</v>
      </c>
      <c r="K287" s="8" t="s">
        <v>181</v>
      </c>
      <c r="L287" s="11" t="str">
        <f>IF([1]All!$L288=0,"",[1]All!$L288)</f>
        <v>NUT,SELF-LOCKING,HE</v>
      </c>
      <c r="M287" s="7" t="str">
        <f>IF([1]All!$AJ288=0,"",[1]All!$AJ288)</f>
        <v xml:space="preserve">BQDL </v>
      </c>
      <c r="N287" s="7" t="str">
        <f>IF([1]All!$R288=0,"",[1]All!$R288)</f>
        <v>5310</v>
      </c>
      <c r="O287" s="7" t="str">
        <f>IF([1]All!$S288=0,"",[1]All!$S288)</f>
        <v>016005331</v>
      </c>
      <c r="P287" s="7" t="str">
        <f>IF([1]All!$V288=0,"",[1]All!$V288)</f>
        <v>0000000061</v>
      </c>
      <c r="Q287" s="3" t="str">
        <f t="shared" si="29"/>
        <v>$0.61</v>
      </c>
      <c r="R287" s="8" t="str">
        <f>IF([1]All!$F288=0,"",[1]All!$F288)</f>
        <v>37577</v>
      </c>
    </row>
    <row r="288" spans="1:18">
      <c r="A288" s="7"/>
      <c r="B288" s="3">
        <f t="shared" si="24"/>
        <v>69</v>
      </c>
      <c r="C288" s="3" t="str">
        <f t="shared" si="25"/>
        <v>E</v>
      </c>
      <c r="D288" s="9" t="str">
        <f t="shared" si="26"/>
        <v>98180A160</v>
      </c>
      <c r="E288" s="3" t="str">
        <f t="shared" si="27"/>
        <v>BSZU  98180A160</v>
      </c>
      <c r="F288" s="10" t="str">
        <f t="shared" si="28"/>
        <v>PCCN: CRGARM:-:PLISN: BSZU :-:PCC: TIT :-: CAGE: 39428:-:PART NUMBER: 98180A160:-:NOMENCLATURE: WASHER,FLAT:-:PRICE: $0.86:-:UNIQUE MODS: NO:-:PROPRIETARILY MFG FOR OEM: NO:-: :-: :-: :-:NSN: 5310015661004 :-: NHA: MIL-001-729 :-: NHA NSN: 3830016180156</v>
      </c>
      <c r="G288" s="8" t="str">
        <f>IF([1]All!$B289="","",[1]All!$B289)</f>
        <v xml:space="preserve">BSZU </v>
      </c>
      <c r="H288" s="8"/>
      <c r="I288" s="8" t="str">
        <f>IF([1]All!$D289=0,"",[1]All!$D289)</f>
        <v>E</v>
      </c>
      <c r="J288" s="8" t="str">
        <f>IF([1]All!$E289=0,"",[1]All!$E289)</f>
        <v>39428</v>
      </c>
      <c r="K288" s="8" t="s">
        <v>180</v>
      </c>
      <c r="L288" s="11" t="str">
        <f>IF([1]All!$L289=0,"",[1]All!$L289)</f>
        <v>WASHER,FLAT</v>
      </c>
      <c r="M288" s="7" t="str">
        <f>IF([1]All!$AJ289=0,"",[1]All!$AJ289)</f>
        <v xml:space="preserve">BQDL </v>
      </c>
      <c r="N288" s="7" t="str">
        <f>IF([1]All!$R289=0,"",[1]All!$R289)</f>
        <v>5310</v>
      </c>
      <c r="O288" s="7" t="str">
        <f>IF([1]All!$S289=0,"",[1]All!$S289)</f>
        <v>015661004</v>
      </c>
      <c r="P288" s="7" t="str">
        <f>IF([1]All!$V289=0,"",[1]All!$V289)</f>
        <v>0000000086</v>
      </c>
      <c r="Q288" s="3" t="str">
        <f t="shared" si="29"/>
        <v>$0.86</v>
      </c>
      <c r="R288" s="8" t="str">
        <f>IF([1]All!$F289=0,"",[1]All!$F289)</f>
        <v>98180A160</v>
      </c>
    </row>
    <row r="289" spans="1:18">
      <c r="A289" s="7"/>
      <c r="B289" s="3">
        <f t="shared" si="24"/>
        <v>67</v>
      </c>
      <c r="C289" s="3" t="str">
        <f t="shared" si="25"/>
        <v>C</v>
      </c>
      <c r="D289" s="9" t="str">
        <f t="shared" si="26"/>
        <v>MIL-001-1412</v>
      </c>
      <c r="E289" s="3" t="str">
        <f t="shared" si="27"/>
        <v>BS5Q  MIL-001-1412</v>
      </c>
      <c r="F289" s="10" t="str">
        <f t="shared" si="28"/>
        <v>PCCN: CRGARM:-:PLISN: BS5Q :-:PCC: TIT :-: CAGE: 0UJB5:-:PART NUMBER: MIL-001-1412:-:NOMENCLATURE: PICK,DIGGING:-:PRICE: $402.27:-:UNIQUE MODS: NO:-:PROPRIETARILY MFG FOR OEM: NO:-: :-: :-: :-: :-: NHA: 12574288</v>
      </c>
      <c r="G289" s="8" t="str">
        <f>IF([1]All!$B290="","",[1]All!$B290)</f>
        <v xml:space="preserve">BS5Q </v>
      </c>
      <c r="H289" s="8"/>
      <c r="I289" s="8" t="str">
        <f>IF([1]All!$D290=0,"",[1]All!$D290)</f>
        <v>C</v>
      </c>
      <c r="J289" s="8" t="str">
        <f>IF([1]All!$E290=0,"",[1]All!$E290)</f>
        <v>0UJB5</v>
      </c>
      <c r="K289" s="8" t="s">
        <v>219</v>
      </c>
      <c r="L289" s="11" t="str">
        <f>IF([1]All!$L290=0,"",[1]All!$L290)</f>
        <v>PICK,DIGGING</v>
      </c>
      <c r="M289" s="7" t="str">
        <f>IF([1]All!$AJ290=0,"",[1]All!$AJ290)</f>
        <v xml:space="preserve">AAF6 </v>
      </c>
      <c r="N289" s="7" t="str">
        <f>IF([1]All!$R290=0,"",[1]All!$R290)</f>
        <v/>
      </c>
      <c r="O289" s="7" t="str">
        <f>IF([1]All!$S290=0,"",[1]All!$S290)</f>
        <v/>
      </c>
      <c r="P289" s="7" t="str">
        <f>IF([1]All!$V290=0,"",[1]All!$V290)</f>
        <v>0000040227</v>
      </c>
      <c r="Q289" s="3" t="str">
        <f t="shared" si="29"/>
        <v>$402.27</v>
      </c>
      <c r="R289" s="8" t="str">
        <f>IF([1]All!$F290=0,"",[1]All!$F290)</f>
        <v>MIL-001-1412</v>
      </c>
    </row>
    <row r="290" spans="1:18">
      <c r="A290" s="7"/>
      <c r="B290" s="3">
        <f t="shared" si="24"/>
        <v>67</v>
      </c>
      <c r="C290" s="3" t="str">
        <f t="shared" si="25"/>
        <v>C</v>
      </c>
      <c r="D290" s="9" t="str">
        <f t="shared" si="26"/>
        <v>MIL-001-767</v>
      </c>
      <c r="E290" s="3" t="str">
        <f t="shared" si="27"/>
        <v>BTBL  MIL-001-767</v>
      </c>
      <c r="F290" s="10" t="str">
        <f t="shared" si="28"/>
        <v>PCCN: CRGARM:-:PLISN: BTBL :-:PCC: TIT :-: CAGE: 0UJB5:-:PART NUMBER: MIL-001-767:-:NOMENCLATURE: SCREW,CAP,HEXAGON H:-:PRICE: $2.75:-:UNIQUE MODS: NO:-:PROPRIETARILY MFG FOR OEM: NO:-: :-: :-: :-:NSN: 5305016005898 :-: NHA: 12574288</v>
      </c>
      <c r="G290" s="8" t="str">
        <f>IF([1]All!$B291="","",[1]All!$B291)</f>
        <v xml:space="preserve">BTBL </v>
      </c>
      <c r="H290" s="8"/>
      <c r="I290" s="8" t="str">
        <f>IF([1]All!$D291=0,"",[1]All!$D291)</f>
        <v>C</v>
      </c>
      <c r="J290" s="8" t="str">
        <f>IF([1]All!$E291=0,"",[1]All!$E291)</f>
        <v>0UJB5</v>
      </c>
      <c r="K290" s="8" t="s">
        <v>220</v>
      </c>
      <c r="L290" s="11" t="str">
        <f>IF([1]All!$L291=0,"",[1]All!$L291)</f>
        <v>SCREW,CAP,HEXAGON H</v>
      </c>
      <c r="M290" s="7" t="str">
        <f>IF([1]All!$AJ291=0,"",[1]All!$AJ291)</f>
        <v xml:space="preserve">AAF6 </v>
      </c>
      <c r="N290" s="7" t="str">
        <f>IF([1]All!$R291=0,"",[1]All!$R291)</f>
        <v>5305</v>
      </c>
      <c r="O290" s="7" t="str">
        <f>IF([1]All!$S291=0,"",[1]All!$S291)</f>
        <v>016005898</v>
      </c>
      <c r="P290" s="7" t="str">
        <f>IF([1]All!$V291=0,"",[1]All!$V291)</f>
        <v>0000000275</v>
      </c>
      <c r="Q290" s="3" t="str">
        <f t="shared" si="29"/>
        <v>$2.75</v>
      </c>
      <c r="R290" s="8" t="str">
        <f>IF([1]All!$F291=0,"",[1]All!$F291)</f>
        <v>MIL-001-767</v>
      </c>
    </row>
    <row r="291" spans="1:18">
      <c r="A291" s="7"/>
      <c r="B291" s="3">
        <f t="shared" si="24"/>
        <v>67</v>
      </c>
      <c r="C291" s="3" t="str">
        <f t="shared" si="25"/>
        <v>C</v>
      </c>
      <c r="D291" s="9" t="str">
        <f t="shared" si="26"/>
        <v>0169238</v>
      </c>
      <c r="E291" s="3" t="str">
        <f t="shared" si="27"/>
        <v>BTHG  0169238</v>
      </c>
      <c r="F291" s="10" t="str">
        <f t="shared" si="28"/>
        <v>PCCN: CRGARM:-:PLISN: BTHG :-:PCC: TIT :-: CAGE: 0Y3H3:-:PART NUMBER: 0169238:-:NOMENCLATURE: NUT,PLAIN,HEXAGON:-:PRICE: $0.89:-:UNIQUE MODS: NO:-:PROPRIETARILY MFG FOR OEM: NO:-: :-: :-: :-:NSN: 5310016005305 :-: NHA: 12574288</v>
      </c>
      <c r="G291" s="8" t="str">
        <f>IF([1]All!$B292="","",[1]All!$B292)</f>
        <v xml:space="preserve">BTHG </v>
      </c>
      <c r="H291" s="8"/>
      <c r="I291" s="8" t="str">
        <f>IF([1]All!$D292=0,"",[1]All!$D292)</f>
        <v>C</v>
      </c>
      <c r="J291" s="8" t="str">
        <f>IF([1]All!$E292=0,"",[1]All!$E292)</f>
        <v>0Y3H3</v>
      </c>
      <c r="K291" s="8" t="s">
        <v>200</v>
      </c>
      <c r="L291" s="11" t="str">
        <f>IF([1]All!$L292=0,"",[1]All!$L292)</f>
        <v>NUT,PLAIN,HEXAGON</v>
      </c>
      <c r="M291" s="7" t="str">
        <f>IF([1]All!$AJ292=0,"",[1]All!$AJ292)</f>
        <v xml:space="preserve">AAF6 </v>
      </c>
      <c r="N291" s="7" t="str">
        <f>IF([1]All!$R292=0,"",[1]All!$R292)</f>
        <v>5310</v>
      </c>
      <c r="O291" s="7" t="str">
        <f>IF([1]All!$S292=0,"",[1]All!$S292)</f>
        <v>016005305</v>
      </c>
      <c r="P291" s="7" t="str">
        <f>IF([1]All!$V292=0,"",[1]All!$V292)</f>
        <v>0000000089</v>
      </c>
      <c r="Q291" s="3" t="str">
        <f t="shared" si="29"/>
        <v>$0.89</v>
      </c>
      <c r="R291" s="8" t="str">
        <f>IF([1]All!$F292=0,"",[1]All!$F292)</f>
        <v>0169238</v>
      </c>
    </row>
    <row r="292" spans="1:18">
      <c r="A292" s="7"/>
      <c r="B292" s="3">
        <f t="shared" si="24"/>
        <v>67</v>
      </c>
      <c r="C292" s="3" t="str">
        <f t="shared" si="25"/>
        <v>C</v>
      </c>
      <c r="D292" s="9" t="str">
        <f t="shared" si="26"/>
        <v>MIL-001-197</v>
      </c>
      <c r="E292" s="3" t="str">
        <f t="shared" si="27"/>
        <v>BTPC  MIL-001-197</v>
      </c>
      <c r="F292" s="10" t="str">
        <f t="shared" si="28"/>
        <v>PCCN: CRGARM:-:PLISN: BTPC :-:PCC: TIT :-: CAGE: 0UJB5:-:PART NUMBER: MIL-001-197:-:NOMENCLATURE: WASHER,FLAT:-:PRICE: $1.13:-:UNIQUE MODS: NO:-:PROPRIETARILY MFG FOR OEM: NO:-: :-: :-: :-:NSN: 5310015738816 :-: NHA: 12574288</v>
      </c>
      <c r="G292" s="8" t="str">
        <f>IF([1]All!$B293="","",[1]All!$B293)</f>
        <v xml:space="preserve">BTPC </v>
      </c>
      <c r="H292" s="8"/>
      <c r="I292" s="8" t="str">
        <f>IF([1]All!$D293=0,"",[1]All!$D293)</f>
        <v>C</v>
      </c>
      <c r="J292" s="8" t="str">
        <f>IF([1]All!$E293=0,"",[1]All!$E293)</f>
        <v>0UJB5</v>
      </c>
      <c r="K292" s="8" t="s">
        <v>198</v>
      </c>
      <c r="L292" s="11" t="str">
        <f>IF([1]All!$L293=0,"",[1]All!$L293)</f>
        <v>WASHER,FLAT</v>
      </c>
      <c r="M292" s="7" t="str">
        <f>IF([1]All!$AJ293=0,"",[1]All!$AJ293)</f>
        <v xml:space="preserve">AAF6 </v>
      </c>
      <c r="N292" s="7" t="str">
        <f>IF([1]All!$R293=0,"",[1]All!$R293)</f>
        <v>5310</v>
      </c>
      <c r="O292" s="7" t="str">
        <f>IF([1]All!$S293=0,"",[1]All!$S293)</f>
        <v>015738816</v>
      </c>
      <c r="P292" s="7" t="str">
        <f>IF([1]All!$V293=0,"",[1]All!$V293)</f>
        <v>0000000113</v>
      </c>
      <c r="Q292" s="3" t="str">
        <f t="shared" si="29"/>
        <v>$1.13</v>
      </c>
      <c r="R292" s="8" t="str">
        <f>IF([1]All!$F293=0,"",[1]All!$F293)</f>
        <v>MIL-001-197</v>
      </c>
    </row>
    <row r="293" spans="1:18">
      <c r="A293" s="7"/>
      <c r="B293" s="3">
        <f t="shared" si="24"/>
        <v>67</v>
      </c>
      <c r="C293" s="3" t="str">
        <f t="shared" si="25"/>
        <v>C</v>
      </c>
      <c r="D293" s="9" t="str">
        <f t="shared" si="26"/>
        <v>91102A770</v>
      </c>
      <c r="E293" s="3" t="str">
        <f t="shared" si="27"/>
        <v>BTU8  91102A770</v>
      </c>
      <c r="F293" s="10" t="str">
        <f t="shared" si="28"/>
        <v>PCCN: CRGARM:-:PLISN: BTU8 :-:PCC: TIT :-: CAGE: 39428:-:PART NUMBER: 91102A770:-:NOMENCLATURE: WASHER,LOCK:-:PRICE: $0.12:-:UNIQUE MODS: NO:-:PROPRIETARILY MFG FOR OEM: NO:-: :-: :-: :-:NSN: 5310015335500 :-: NHA: 12574288</v>
      </c>
      <c r="G293" s="8" t="str">
        <f>IF([1]All!$B294="","",[1]All!$B294)</f>
        <v xml:space="preserve">BTU8 </v>
      </c>
      <c r="H293" s="8"/>
      <c r="I293" s="8" t="str">
        <f>IF([1]All!$D294=0,"",[1]All!$D294)</f>
        <v>C</v>
      </c>
      <c r="J293" s="8" t="str">
        <f>IF([1]All!$E294=0,"",[1]All!$E294)</f>
        <v>39428</v>
      </c>
      <c r="K293" s="8" t="s">
        <v>199</v>
      </c>
      <c r="L293" s="11" t="str">
        <f>IF([1]All!$L294=0,"",[1]All!$L294)</f>
        <v>WASHER,LOCK</v>
      </c>
      <c r="M293" s="7" t="str">
        <f>IF([1]All!$AJ294=0,"",[1]All!$AJ294)</f>
        <v xml:space="preserve">AAF6 </v>
      </c>
      <c r="N293" s="7" t="str">
        <f>IF([1]All!$R294=0,"",[1]All!$R294)</f>
        <v>5310</v>
      </c>
      <c r="O293" s="7" t="str">
        <f>IF([1]All!$S294=0,"",[1]All!$S294)</f>
        <v>015335500</v>
      </c>
      <c r="P293" s="7" t="str">
        <f>IF([1]All!$V294=0,"",[1]All!$V294)</f>
        <v>0000000012</v>
      </c>
      <c r="Q293" s="3" t="str">
        <f t="shared" si="29"/>
        <v>$0.12</v>
      </c>
      <c r="R293" s="8" t="str">
        <f>IF([1]All!$F294=0,"",[1]All!$F294)</f>
        <v>91102A770</v>
      </c>
    </row>
    <row r="294" spans="1:18">
      <c r="A294" s="7"/>
      <c r="B294" s="3">
        <f t="shared" si="24"/>
        <v>67</v>
      </c>
      <c r="C294" s="3" t="str">
        <f t="shared" si="25"/>
        <v>C</v>
      </c>
      <c r="D294" s="9" t="str">
        <f t="shared" si="26"/>
        <v>12585845</v>
      </c>
      <c r="E294" s="3" t="str">
        <f t="shared" si="27"/>
        <v>BT04  12585845</v>
      </c>
      <c r="F294" s="10" t="str">
        <f t="shared" si="28"/>
        <v>PCCN: CRGARM:-:PLISN: BT04 :-:PCC: TIT :-: CAGE: 19207:-:PART NUMBER: 12585845:-:NOMENCLATURE: SUPPORT,TELEVISION :-:PRICE: $150.00:-:UNIQUE MODS: NO:-:PROPRIETARILY MFG FOR OEM: NO:-: :-: :-: :-: :-: NHA: 12574288</v>
      </c>
      <c r="G294" s="8" t="str">
        <f>IF([1]All!$B295="","",[1]All!$B295)</f>
        <v xml:space="preserve">BT04 </v>
      </c>
      <c r="H294" s="8"/>
      <c r="I294" s="8" t="str">
        <f>IF([1]All!$D295=0,"",[1]All!$D295)</f>
        <v>C</v>
      </c>
      <c r="J294" s="8" t="str">
        <f>IF([1]All!$E295=0,"",[1]All!$E295)</f>
        <v>19207</v>
      </c>
      <c r="K294" s="8" t="s">
        <v>221</v>
      </c>
      <c r="L294" s="11" t="str">
        <f>IF([1]All!$L295=0,"",[1]All!$L295)</f>
        <v xml:space="preserve">SUPPORT,TELEVISION </v>
      </c>
      <c r="M294" s="7" t="str">
        <f>IF([1]All!$AJ295=0,"",[1]All!$AJ295)</f>
        <v xml:space="preserve">AAF6 </v>
      </c>
      <c r="N294" s="7" t="str">
        <f>IF([1]All!$R295=0,"",[1]All!$R295)</f>
        <v/>
      </c>
      <c r="O294" s="7" t="str">
        <f>IF([1]All!$S295=0,"",[1]All!$S295)</f>
        <v/>
      </c>
      <c r="P294" s="7" t="str">
        <f>IF([1]All!$V295=0,"",[1]All!$V295)</f>
        <v>0000015000</v>
      </c>
      <c r="Q294" s="3" t="str">
        <f t="shared" si="29"/>
        <v>$150.00</v>
      </c>
      <c r="R294" s="8" t="str">
        <f>IF([1]All!$F295=0,"",[1]All!$F295)</f>
        <v>12585845</v>
      </c>
    </row>
    <row r="295" spans="1:18">
      <c r="A295" s="7"/>
      <c r="B295" s="3">
        <f t="shared" si="24"/>
        <v>67</v>
      </c>
      <c r="C295" s="3" t="str">
        <f t="shared" si="25"/>
        <v>C</v>
      </c>
      <c r="D295" s="9" t="str">
        <f t="shared" si="26"/>
        <v>12585846</v>
      </c>
      <c r="E295" s="3" t="str">
        <f t="shared" si="27"/>
        <v>BT60  12585846</v>
      </c>
      <c r="F295" s="10" t="str">
        <f t="shared" si="28"/>
        <v>PCCN: CRGARM:-:PLISN: BT60 :-:PCC: TIT :-: CAGE: 19207:-:PART NUMBER: 12585846:-:NOMENCLATURE: SUPPORT,TELEVISION :-:PRICE: $120.00:-:UNIQUE MODS: NO:-:PROPRIETARILY MFG FOR OEM: NO:-: :-: :-: :-: :-: NHA: 12574288</v>
      </c>
      <c r="G295" s="8" t="str">
        <f>IF([1]All!$B296="","",[1]All!$B296)</f>
        <v xml:space="preserve">BT60 </v>
      </c>
      <c r="H295" s="8"/>
      <c r="I295" s="8" t="str">
        <f>IF([1]All!$D296=0,"",[1]All!$D296)</f>
        <v>C</v>
      </c>
      <c r="J295" s="8" t="str">
        <f>IF([1]All!$E296=0,"",[1]All!$E296)</f>
        <v>19207</v>
      </c>
      <c r="K295" s="8" t="s">
        <v>222</v>
      </c>
      <c r="L295" s="11" t="str">
        <f>IF([1]All!$L296=0,"",[1]All!$L296)</f>
        <v xml:space="preserve">SUPPORT,TELEVISION </v>
      </c>
      <c r="M295" s="7" t="str">
        <f>IF([1]All!$AJ296=0,"",[1]All!$AJ296)</f>
        <v xml:space="preserve">AAF6 </v>
      </c>
      <c r="N295" s="7" t="str">
        <f>IF([1]All!$R296=0,"",[1]All!$R296)</f>
        <v/>
      </c>
      <c r="O295" s="7" t="str">
        <f>IF([1]All!$S296=0,"",[1]All!$S296)</f>
        <v/>
      </c>
      <c r="P295" s="7" t="str">
        <f>IF([1]All!$V296=0,"",[1]All!$V296)</f>
        <v>0000012000</v>
      </c>
      <c r="Q295" s="3" t="str">
        <f t="shared" si="29"/>
        <v>$120.00</v>
      </c>
      <c r="R295" s="8" t="str">
        <f>IF([1]All!$F296=0,"",[1]All!$F296)</f>
        <v>12585846</v>
      </c>
    </row>
    <row r="296" spans="1:18">
      <c r="A296" s="7"/>
      <c r="B296" s="3">
        <f t="shared" si="24"/>
        <v>67</v>
      </c>
      <c r="C296" s="3" t="str">
        <f t="shared" si="25"/>
        <v>C</v>
      </c>
      <c r="D296" s="9" t="str">
        <f t="shared" si="26"/>
        <v>91286A155</v>
      </c>
      <c r="E296" s="3" t="str">
        <f t="shared" si="27"/>
        <v>BUCW  91286A155</v>
      </c>
      <c r="F296" s="10" t="str">
        <f t="shared" si="28"/>
        <v>PCCN: CRGARM:-:PLISN: BUCW :-:PCC: TIT :-: CAGE: 39428:-:PART NUMBER: 91286A155:-:NOMENCLATURE: SCREW,CAP,HEXAGON H:-:PRICE: $0.16:-:UNIQUE MODS: NO:-:PROPRIETARILY MFG FOR OEM: NO:-: :-: :-: :-:NSN: 5305014925872 :-: NHA: 12574288</v>
      </c>
      <c r="G296" s="8" t="str">
        <f>IF([1]All!$B297="","",[1]All!$B297)</f>
        <v xml:space="preserve">BUCW </v>
      </c>
      <c r="H296" s="8"/>
      <c r="I296" s="8" t="str">
        <f>IF([1]All!$D297=0,"",[1]All!$D297)</f>
        <v>C</v>
      </c>
      <c r="J296" s="8" t="str">
        <f>IF([1]All!$E297=0,"",[1]All!$E297)</f>
        <v>39428</v>
      </c>
      <c r="K296" s="8" t="s">
        <v>223</v>
      </c>
      <c r="L296" s="11" t="str">
        <f>IF([1]All!$L297=0,"",[1]All!$L297)</f>
        <v>SCREW,CAP,HEXAGON H</v>
      </c>
      <c r="M296" s="7" t="str">
        <f>IF([1]All!$AJ297=0,"",[1]All!$AJ297)</f>
        <v xml:space="preserve">AAF6 </v>
      </c>
      <c r="N296" s="7" t="str">
        <f>IF([1]All!$R297=0,"",[1]All!$R297)</f>
        <v>5305</v>
      </c>
      <c r="O296" s="7" t="str">
        <f>IF([1]All!$S297=0,"",[1]All!$S297)</f>
        <v>014925872</v>
      </c>
      <c r="P296" s="7" t="str">
        <f>IF([1]All!$V297=0,"",[1]All!$V297)</f>
        <v>0000000016</v>
      </c>
      <c r="Q296" s="3" t="str">
        <f t="shared" si="29"/>
        <v>$0.16</v>
      </c>
      <c r="R296" s="8" t="str">
        <f>IF([1]All!$F297=0,"",[1]All!$F297)</f>
        <v>91286A155</v>
      </c>
    </row>
    <row r="297" spans="1:18">
      <c r="A297" s="7"/>
      <c r="B297" s="3">
        <f t="shared" si="24"/>
        <v>67</v>
      </c>
      <c r="C297" s="3" t="str">
        <f t="shared" si="25"/>
        <v>C</v>
      </c>
      <c r="D297" s="9" t="str">
        <f t="shared" si="26"/>
        <v>90126A030</v>
      </c>
      <c r="E297" s="3" t="str">
        <f t="shared" si="27"/>
        <v>BUJS  90126A030</v>
      </c>
      <c r="F297" s="10" t="str">
        <f t="shared" si="28"/>
        <v>PCCN: CRGARM:-:PLISN: BUJS :-:PCC: TIT :-: CAGE: 39428:-:PART NUMBER: 90126A030:-:NOMENCLATURE: WASHER,FLAT:-:PRICE: $0.03:-:UNIQUE MODS: NO:-:PROPRIETARILY MFG FOR OEM: NO:-: :-: :-: :-:NSN: 5310015296246 :-: NHA: 12574288</v>
      </c>
      <c r="G297" s="8" t="str">
        <f>IF([1]All!$B298="","",[1]All!$B298)</f>
        <v xml:space="preserve">BUJS </v>
      </c>
      <c r="H297" s="8"/>
      <c r="I297" s="8" t="str">
        <f>IF([1]All!$D298=0,"",[1]All!$D298)</f>
        <v>C</v>
      </c>
      <c r="J297" s="8" t="str">
        <f>IF([1]All!$E298=0,"",[1]All!$E298)</f>
        <v>39428</v>
      </c>
      <c r="K297" s="8" t="s">
        <v>224</v>
      </c>
      <c r="L297" s="11" t="str">
        <f>IF([1]All!$L298=0,"",[1]All!$L298)</f>
        <v>WASHER,FLAT</v>
      </c>
      <c r="M297" s="7" t="str">
        <f>IF([1]All!$AJ298=0,"",[1]All!$AJ298)</f>
        <v xml:space="preserve">AAF6 </v>
      </c>
      <c r="N297" s="7" t="str">
        <f>IF([1]All!$R298=0,"",[1]All!$R298)</f>
        <v>5310</v>
      </c>
      <c r="O297" s="7" t="str">
        <f>IF([1]All!$S298=0,"",[1]All!$S298)</f>
        <v>015296246</v>
      </c>
      <c r="P297" s="7" t="str">
        <f>IF([1]All!$V298=0,"",[1]All!$V298)</f>
        <v>0000000003</v>
      </c>
      <c r="Q297" s="3" t="str">
        <f t="shared" si="29"/>
        <v>$0.03</v>
      </c>
      <c r="R297" s="8" t="str">
        <f>IF([1]All!$F298=0,"",[1]All!$F298)</f>
        <v>90126A030</v>
      </c>
    </row>
    <row r="298" spans="1:18">
      <c r="A298" s="7"/>
      <c r="B298" s="3">
        <f t="shared" si="24"/>
        <v>67</v>
      </c>
      <c r="C298" s="3" t="str">
        <f t="shared" si="25"/>
        <v>C</v>
      </c>
      <c r="D298" s="9" t="str">
        <f t="shared" si="26"/>
        <v>1133620</v>
      </c>
      <c r="E298" s="3" t="str">
        <f t="shared" si="27"/>
        <v>BUQN  1133620</v>
      </c>
      <c r="F298" s="10" t="str">
        <f t="shared" si="28"/>
        <v>PCCN: CRGARM:-:PLISN: BUQN :-:PCC: TIT :-: CAGE: 0Y3H3:-:PART NUMBER: 1133620:-:NOMENCLATURE: WASHER,LOCK:-:PRICE: $9.78:-:UNIQUE MODS: NO:-:PROPRIETARILY MFG FOR OEM: NO:-: :-: :-: :-:NSN: 5310015835810 :-: NHA: 12574288</v>
      </c>
      <c r="G298" s="8" t="str">
        <f>IF([1]All!$B299="","",[1]All!$B299)</f>
        <v xml:space="preserve">BUQN </v>
      </c>
      <c r="H298" s="8"/>
      <c r="I298" s="8" t="str">
        <f>IF([1]All!$D299=0,"",[1]All!$D299)</f>
        <v>C</v>
      </c>
      <c r="J298" s="8" t="str">
        <f>IF([1]All!$E299=0,"",[1]All!$E299)</f>
        <v>0Y3H3</v>
      </c>
      <c r="K298" s="8" t="s">
        <v>225</v>
      </c>
      <c r="L298" s="11" t="str">
        <f>IF([1]All!$L299=0,"",[1]All!$L299)</f>
        <v>WASHER,LOCK</v>
      </c>
      <c r="M298" s="7" t="str">
        <f>IF([1]All!$AJ299=0,"",[1]All!$AJ299)</f>
        <v xml:space="preserve">AAF6 </v>
      </c>
      <c r="N298" s="7" t="str">
        <f>IF([1]All!$R299=0,"",[1]All!$R299)</f>
        <v>5310</v>
      </c>
      <c r="O298" s="7" t="str">
        <f>IF([1]All!$S299=0,"",[1]All!$S299)</f>
        <v>015835810</v>
      </c>
      <c r="P298" s="7" t="str">
        <f>IF([1]All!$V299=0,"",[1]All!$V299)</f>
        <v>0000000978</v>
      </c>
      <c r="Q298" s="3" t="str">
        <f t="shared" si="29"/>
        <v>$9.78</v>
      </c>
      <c r="R298" s="8" t="str">
        <f>IF([1]All!$F299=0,"",[1]All!$F299)</f>
        <v>1133620</v>
      </c>
    </row>
    <row r="299" spans="1:18">
      <c r="A299" s="7"/>
      <c r="B299" s="3">
        <f t="shared" si="24"/>
        <v>67</v>
      </c>
      <c r="C299" s="3" t="str">
        <f t="shared" si="25"/>
        <v>C</v>
      </c>
      <c r="D299" s="9" t="str">
        <f t="shared" si="26"/>
        <v>51356</v>
      </c>
      <c r="E299" s="3" t="str">
        <f t="shared" si="27"/>
        <v>BUWJ  51356</v>
      </c>
      <c r="F299" s="10" t="str">
        <f t="shared" si="28"/>
        <v>PCCN: CRGARM:-:PLISN: BUWJ :-:PCC: TIT :-: CAGE: 0PVE5:-:PART NUMBER: 51356:-:NOMENCLATURE: SCREW,CAP,SOCKET HE:-:PRICE: $8.45:-:UNIQUE MODS: NO:-:PROPRIETARILY MFG FOR OEM: NO:-: :-: :-: :-:NSN: 5305015660732 :-: NHA: 12574288</v>
      </c>
      <c r="G299" s="8" t="str">
        <f>IF([1]All!$B300="","",[1]All!$B300)</f>
        <v xml:space="preserve">BUWJ </v>
      </c>
      <c r="H299" s="8"/>
      <c r="I299" s="8" t="str">
        <f>IF([1]All!$D300=0,"",[1]All!$D300)</f>
        <v>C</v>
      </c>
      <c r="J299" s="8" t="str">
        <f>IF([1]All!$E300=0,"",[1]All!$E300)</f>
        <v>0PVE5</v>
      </c>
      <c r="K299" s="8" t="s">
        <v>226</v>
      </c>
      <c r="L299" s="11" t="str">
        <f>IF([1]All!$L300=0,"",[1]All!$L300)</f>
        <v>SCREW,CAP,SOCKET HE</v>
      </c>
      <c r="M299" s="7" t="str">
        <f>IF([1]All!$AJ300=0,"",[1]All!$AJ300)</f>
        <v xml:space="preserve">AAF6 </v>
      </c>
      <c r="N299" s="7" t="str">
        <f>IF([1]All!$R300=0,"",[1]All!$R300)</f>
        <v>5305</v>
      </c>
      <c r="O299" s="7" t="str">
        <f>IF([1]All!$S300=0,"",[1]All!$S300)</f>
        <v>015660732</v>
      </c>
      <c r="P299" s="7" t="str">
        <f>IF([1]All!$V300=0,"",[1]All!$V300)</f>
        <v>0000000845</v>
      </c>
      <c r="Q299" s="3" t="str">
        <f t="shared" si="29"/>
        <v>$8.45</v>
      </c>
      <c r="R299" s="8" t="str">
        <f>IF([1]All!$F300=0,"",[1]All!$F300)</f>
        <v>51356</v>
      </c>
    </row>
    <row r="300" spans="1:18">
      <c r="A300" s="7"/>
      <c r="B300" s="3">
        <f t="shared" si="24"/>
        <v>67</v>
      </c>
      <c r="C300" s="3" t="str">
        <f t="shared" si="25"/>
        <v>C</v>
      </c>
      <c r="D300" s="9" t="str">
        <f t="shared" si="26"/>
        <v>MIL-001-258</v>
      </c>
      <c r="E300" s="3" t="str">
        <f t="shared" si="27"/>
        <v>BU2E  MIL-001-258</v>
      </c>
      <c r="F300" s="10" t="str">
        <f t="shared" si="28"/>
        <v>PCCN: CRGARM:-:PLISN: BU2E :-:PCC: TIT :-: CAGE: 0UJB5:-:PART NUMBER: MIL-001-258:-:NOMENCLATURE: NUT,PLAIN,HEXAGON:-:PRICE: $0.21:-:UNIQUE MODS: NO:-:PROPRIETARILY MFG FOR OEM: NO:-: :-: :-: :-:NSN: 5310015738790 :-: NHA: 12574288</v>
      </c>
      <c r="G300" s="8" t="str">
        <f>IF([1]All!$B301="","",[1]All!$B301)</f>
        <v xml:space="preserve">BU2E </v>
      </c>
      <c r="H300" s="8"/>
      <c r="I300" s="8" t="str">
        <f>IF([1]All!$D301=0,"",[1]All!$D301)</f>
        <v>C</v>
      </c>
      <c r="J300" s="8" t="str">
        <f>IF([1]All!$E301=0,"",[1]All!$E301)</f>
        <v>0UJB5</v>
      </c>
      <c r="K300" s="8" t="s">
        <v>227</v>
      </c>
      <c r="L300" s="11" t="str">
        <f>IF([1]All!$L301=0,"",[1]All!$L301)</f>
        <v>NUT,PLAIN,HEXAGON</v>
      </c>
      <c r="M300" s="7" t="str">
        <f>IF([1]All!$AJ301=0,"",[1]All!$AJ301)</f>
        <v xml:space="preserve">AAF6 </v>
      </c>
      <c r="N300" s="7" t="str">
        <f>IF([1]All!$R301=0,"",[1]All!$R301)</f>
        <v>5310</v>
      </c>
      <c r="O300" s="7" t="str">
        <f>IF([1]All!$S301=0,"",[1]All!$S301)</f>
        <v>015738790</v>
      </c>
      <c r="P300" s="7" t="str">
        <f>IF([1]All!$V301=0,"",[1]All!$V301)</f>
        <v>0000000021</v>
      </c>
      <c r="Q300" s="3" t="str">
        <f t="shared" si="29"/>
        <v>$0.21</v>
      </c>
      <c r="R300" s="8" t="str">
        <f>IF([1]All!$F301=0,"",[1]All!$F301)</f>
        <v>MIL-001-258</v>
      </c>
    </row>
    <row r="301" spans="1:18">
      <c r="A301" s="7"/>
      <c r="B301" s="3">
        <f t="shared" si="24"/>
        <v>67</v>
      </c>
      <c r="C301" s="3" t="str">
        <f t="shared" si="25"/>
        <v>C</v>
      </c>
      <c r="D301" s="9" t="str">
        <f t="shared" si="26"/>
        <v>MIL-001-259</v>
      </c>
      <c r="E301" s="3" t="str">
        <f t="shared" si="27"/>
        <v>BU8A  MIL-001-259</v>
      </c>
      <c r="F301" s="10" t="str">
        <f t="shared" si="28"/>
        <v>PCCN: CRGARM:-:PLISN: BU8A :-:PCC: TIT :-: CAGE: 0UJB5:-:PART NUMBER: MIL-001-259:-:NOMENCLATURE: WASHER,FLAT:-:PRICE: $0.23:-:UNIQUE MODS: NO:-:PROPRIETARILY MFG FOR OEM: NO:-: :-: :-: :-:NSN: 5310015738789 :-: NHA: 12574288</v>
      </c>
      <c r="G301" s="8" t="str">
        <f>IF([1]All!$B302="","",[1]All!$B302)</f>
        <v xml:space="preserve">BU8A </v>
      </c>
      <c r="H301" s="8"/>
      <c r="I301" s="8" t="str">
        <f>IF([1]All!$D302=0,"",[1]All!$D302)</f>
        <v>C</v>
      </c>
      <c r="J301" s="8" t="str">
        <f>IF([1]All!$E302=0,"",[1]All!$E302)</f>
        <v>0UJB5</v>
      </c>
      <c r="K301" s="8" t="s">
        <v>228</v>
      </c>
      <c r="L301" s="11" t="str">
        <f>IF([1]All!$L302=0,"",[1]All!$L302)</f>
        <v>WASHER,FLAT</v>
      </c>
      <c r="M301" s="7" t="str">
        <f>IF([1]All!$AJ302=0,"",[1]All!$AJ302)</f>
        <v xml:space="preserve">AAF6 </v>
      </c>
      <c r="N301" s="7" t="str">
        <f>IF([1]All!$R302=0,"",[1]All!$R302)</f>
        <v>5310</v>
      </c>
      <c r="O301" s="7" t="str">
        <f>IF([1]All!$S302=0,"",[1]All!$S302)</f>
        <v>015738789</v>
      </c>
      <c r="P301" s="7" t="str">
        <f>IF([1]All!$V302=0,"",[1]All!$V302)</f>
        <v>0000000023</v>
      </c>
      <c r="Q301" s="3" t="str">
        <f t="shared" si="29"/>
        <v>$0.23</v>
      </c>
      <c r="R301" s="8" t="str">
        <f>IF([1]All!$F302=0,"",[1]All!$F302)</f>
        <v>MIL-001-259</v>
      </c>
    </row>
    <row r="302" spans="1:18">
      <c r="A302" s="7"/>
      <c r="B302" s="3">
        <f t="shared" si="24"/>
        <v>67</v>
      </c>
      <c r="C302" s="3" t="str">
        <f t="shared" si="25"/>
        <v>C</v>
      </c>
      <c r="D302" s="9" t="str">
        <f t="shared" si="26"/>
        <v>91102A750</v>
      </c>
      <c r="E302" s="3" t="str">
        <f t="shared" si="27"/>
        <v>BVD6  91102A750</v>
      </c>
      <c r="F302" s="10" t="str">
        <f t="shared" si="28"/>
        <v>PCCN: CRGARM:-:PLISN: BVD6 :-:PCC: TIT :-: CAGE: 3A054:-:PART NUMBER: 91102A750:-:NOMENCLATURE: WASHER,LOCK:-:PRICE: $0.19:-:UNIQUE MODS: NO:-:PROPRIETARILY MFG FOR OEM: NO:-: :-: :-: :-:NSN: 5310016112340 :-: NHA: 12574288</v>
      </c>
      <c r="G302" s="8" t="str">
        <f>IF([1]All!$B303="","",[1]All!$B303)</f>
        <v xml:space="preserve">BVD6 </v>
      </c>
      <c r="H302" s="8"/>
      <c r="I302" s="8" t="str">
        <f>IF([1]All!$D303=0,"",[1]All!$D303)</f>
        <v>C</v>
      </c>
      <c r="J302" s="8" t="str">
        <f>IF([1]All!$E303=0,"",[1]All!$E303)</f>
        <v>3A054</v>
      </c>
      <c r="K302" s="8" t="s">
        <v>229</v>
      </c>
      <c r="L302" s="11" t="str">
        <f>IF([1]All!$L303=0,"",[1]All!$L303)</f>
        <v>WASHER,LOCK</v>
      </c>
      <c r="M302" s="7" t="str">
        <f>IF([1]All!$AJ303=0,"",[1]All!$AJ303)</f>
        <v xml:space="preserve">AAF6 </v>
      </c>
      <c r="N302" s="7" t="str">
        <f>IF([1]All!$R303=0,"",[1]All!$R303)</f>
        <v>5310</v>
      </c>
      <c r="O302" s="7" t="str">
        <f>IF([1]All!$S303=0,"",[1]All!$S303)</f>
        <v>016112340</v>
      </c>
      <c r="P302" s="7" t="str">
        <f>IF([1]All!$V303=0,"",[1]All!$V303)</f>
        <v>0000000019</v>
      </c>
      <c r="Q302" s="3" t="str">
        <f t="shared" si="29"/>
        <v>$0.19</v>
      </c>
      <c r="R302" s="8" t="str">
        <f>IF([1]All!$F303=0,"",[1]All!$F303)</f>
        <v>91102A750</v>
      </c>
    </row>
    <row r="303" spans="1:18">
      <c r="A303" s="7"/>
      <c r="B303" s="3">
        <f t="shared" si="24"/>
        <v>67</v>
      </c>
      <c r="C303" s="3" t="str">
        <f t="shared" si="25"/>
        <v>C</v>
      </c>
      <c r="D303" s="9" t="str">
        <f t="shared" si="26"/>
        <v>MIL-001-1175</v>
      </c>
      <c r="E303" s="3" t="str">
        <f t="shared" si="27"/>
        <v>BVK2  MIL-001-1175</v>
      </c>
      <c r="F303" s="10" t="str">
        <f t="shared" si="28"/>
        <v>PCCN: CRGARM:-:PLISN: BVK2 :-:PCC: TIT :-: CAGE: 0UJB5:-:PART NUMBER: MIL-001-1175:-:NOMENCLATURE: LIGHT,UTILITY,VEHIC:-:PRICE: $250.00:-:UNIQUE MODS: NO:-:PROPRIETARILY MFG FOR OEM: NO:-: :-: :-: :-: :-: NHA: 12574288</v>
      </c>
      <c r="G303" s="8" t="str">
        <f>IF([1]All!$B304="","",[1]All!$B304)</f>
        <v xml:space="preserve">BVK2 </v>
      </c>
      <c r="H303" s="8"/>
      <c r="I303" s="8" t="str">
        <f>IF([1]All!$D304=0,"",[1]All!$D304)</f>
        <v>C</v>
      </c>
      <c r="J303" s="8" t="str">
        <f>IF([1]All!$E304=0,"",[1]All!$E304)</f>
        <v>0UJB5</v>
      </c>
      <c r="K303" s="8" t="s">
        <v>230</v>
      </c>
      <c r="L303" s="11" t="str">
        <f>IF([1]All!$L304=0,"",[1]All!$L304)</f>
        <v>LIGHT,UTILITY,VEHIC</v>
      </c>
      <c r="M303" s="7" t="str">
        <f>IF([1]All!$AJ304=0,"",[1]All!$AJ304)</f>
        <v xml:space="preserve">AAF6 </v>
      </c>
      <c r="N303" s="7" t="str">
        <f>IF([1]All!$R304=0,"",[1]All!$R304)</f>
        <v/>
      </c>
      <c r="O303" s="7" t="str">
        <f>IF([1]All!$S304=0,"",[1]All!$S304)</f>
        <v/>
      </c>
      <c r="P303" s="7" t="str">
        <f>IF([1]All!$V304=0,"",[1]All!$V304)</f>
        <v>0000025000</v>
      </c>
      <c r="Q303" s="3" t="str">
        <f t="shared" si="29"/>
        <v>$250.00</v>
      </c>
      <c r="R303" s="8" t="str">
        <f>IF([1]All!$F304=0,"",[1]All!$F304)</f>
        <v>MIL-001-1175</v>
      </c>
    </row>
    <row r="304" spans="1:18">
      <c r="A304" s="7"/>
      <c r="B304" s="3">
        <f t="shared" si="24"/>
        <v>68</v>
      </c>
      <c r="C304" s="3" t="str">
        <f t="shared" si="25"/>
        <v>D</v>
      </c>
      <c r="D304" s="9" t="str">
        <f t="shared" si="26"/>
        <v>0162158</v>
      </c>
      <c r="E304" s="3" t="str">
        <f t="shared" si="27"/>
        <v>BVRY  0162158</v>
      </c>
      <c r="F304" s="10" t="str">
        <f t="shared" si="28"/>
        <v>PCCN: CRGARM:-:PLISN: BVRY :-:PCC: TIT :-: CAGE: 0Y3H3:-:PART NUMBER: 0162158:-:NOMENCLATURE: BOLT,SQUARE NECK:-:PRICE: $5.06:-:UNIQUE MODS: NO:-:PROPRIETARILY MFG FOR OEM: NO:-: :-: :-: :-: :-: NHA: MIL-001-1175</v>
      </c>
      <c r="G304" s="8" t="str">
        <f>IF([1]All!$B305="","",[1]All!$B305)</f>
        <v xml:space="preserve">BVRY </v>
      </c>
      <c r="H304" s="8"/>
      <c r="I304" s="8" t="str">
        <f>IF([1]All!$D305=0,"",[1]All!$D305)</f>
        <v>D</v>
      </c>
      <c r="J304" s="8" t="str">
        <f>IF([1]All!$E305=0,"",[1]All!$E305)</f>
        <v>0Y3H3</v>
      </c>
      <c r="K304" s="8" t="s">
        <v>231</v>
      </c>
      <c r="L304" s="11" t="str">
        <f>IF([1]All!$L305=0,"",[1]All!$L305)</f>
        <v>BOLT,SQUARE NECK</v>
      </c>
      <c r="M304" s="7" t="str">
        <f>IF([1]All!$AJ305=0,"",[1]All!$AJ305)</f>
        <v xml:space="preserve">BVK2 </v>
      </c>
      <c r="N304" s="7" t="str">
        <f>IF([1]All!$R305=0,"",[1]All!$R305)</f>
        <v/>
      </c>
      <c r="O304" s="7" t="str">
        <f>IF([1]All!$S305=0,"",[1]All!$S305)</f>
        <v/>
      </c>
      <c r="P304" s="7" t="str">
        <f>IF([1]All!$V305=0,"",[1]All!$V305)</f>
        <v>0000000506</v>
      </c>
      <c r="Q304" s="3" t="str">
        <f t="shared" si="29"/>
        <v>$5.06</v>
      </c>
      <c r="R304" s="8" t="str">
        <f>IF([1]All!$F305=0,"",[1]All!$F305)</f>
        <v>0162158</v>
      </c>
    </row>
    <row r="305" spans="1:18">
      <c r="A305" s="7"/>
      <c r="B305" s="3">
        <f t="shared" si="24"/>
        <v>68</v>
      </c>
      <c r="C305" s="3" t="str">
        <f t="shared" si="25"/>
        <v>D</v>
      </c>
      <c r="D305" s="9" t="str">
        <f t="shared" si="26"/>
        <v>95610A380</v>
      </c>
      <c r="E305" s="3" t="str">
        <f t="shared" si="27"/>
        <v>BVXU  95610A380</v>
      </c>
      <c r="F305" s="10" t="str">
        <f t="shared" si="28"/>
        <v>PCCN: CRGARM:-:PLISN: BVXU :-:PCC: TIT :-: CAGE: 39428:-:PART NUMBER: 95610A380:-:NOMENCLATURE: NYLON WASHER:-:PRICE: $6.86:-:UNIQUE MODS: NO:-:PROPRIETARILY MFG FOR OEM: NO:-: :-: :-: :-: :-: NHA: MIL-001-1175</v>
      </c>
      <c r="G305" s="8" t="str">
        <f>IF([1]All!$B306="","",[1]All!$B306)</f>
        <v xml:space="preserve">BVXU </v>
      </c>
      <c r="H305" s="8"/>
      <c r="I305" s="8" t="str">
        <f>IF([1]All!$D306=0,"",[1]All!$D306)</f>
        <v>D</v>
      </c>
      <c r="J305" s="8" t="str">
        <f>IF([1]All!$E306=0,"",[1]All!$E306)</f>
        <v>39428</v>
      </c>
      <c r="K305" s="8" t="s">
        <v>400</v>
      </c>
      <c r="L305" s="11" t="str">
        <f>IF([1]All!$L306=0,"",[1]All!$L306)</f>
        <v>NYLON WASHER</v>
      </c>
      <c r="M305" s="7" t="str">
        <f>IF([1]All!$AJ306=0,"",[1]All!$AJ306)</f>
        <v xml:space="preserve">BVK2 </v>
      </c>
      <c r="N305" s="7" t="str">
        <f>IF([1]All!$R306=0,"",[1]All!$R306)</f>
        <v/>
      </c>
      <c r="O305" s="7" t="str">
        <f>IF([1]All!$S306=0,"",[1]All!$S306)</f>
        <v/>
      </c>
      <c r="P305" s="7" t="str">
        <f>IF([1]All!$V306=0,"",[1]All!$V306)</f>
        <v>0000000686</v>
      </c>
      <c r="Q305" s="3" t="str">
        <f t="shared" si="29"/>
        <v>$6.86</v>
      </c>
      <c r="R305" s="8" t="str">
        <f>IF([1]All!$F306=0,"",[1]All!$F306)</f>
        <v>95610A380</v>
      </c>
    </row>
    <row r="306" spans="1:18">
      <c r="A306" s="7"/>
      <c r="B306" s="3">
        <f t="shared" si="24"/>
        <v>68</v>
      </c>
      <c r="C306" s="3" t="str">
        <f t="shared" si="25"/>
        <v>D</v>
      </c>
      <c r="D306" s="9" t="str">
        <f t="shared" si="26"/>
        <v>MW6380000A20000</v>
      </c>
      <c r="E306" s="3" t="str">
        <f t="shared" si="27"/>
        <v>BV3Q  MW6380000A20000</v>
      </c>
      <c r="F306" s="10" t="str">
        <f t="shared" si="28"/>
        <v>PCCN: CRGARM:-:PLISN: BV3Q :-:PCC: TIT :-: CAGE: 0Y3H3:-:PART NUMBER: MW6380000A20000:-:NOMENCLATURE: WASHER,FLAT:-:PRICE: $0.08:-:UNIQUE MODS: NO:-:PROPRIETARILY MFG FOR OEM: NO:-: :-: :-: :-:NSN: 5310016010952 :-: NHA: MIL-001-1175</v>
      </c>
      <c r="G306" s="8" t="str">
        <f>IF([1]All!$B307="","",[1]All!$B307)</f>
        <v xml:space="preserve">BV3Q </v>
      </c>
      <c r="H306" s="8"/>
      <c r="I306" s="8" t="str">
        <f>IF([1]All!$D307=0,"",[1]All!$D307)</f>
        <v>D</v>
      </c>
      <c r="J306" s="8" t="str">
        <f>IF([1]All!$E307=0,"",[1]All!$E307)</f>
        <v>0Y3H3</v>
      </c>
      <c r="K306" s="8" t="s">
        <v>232</v>
      </c>
      <c r="L306" s="11" t="str">
        <f>IF([1]All!$L307=0,"",[1]All!$L307)</f>
        <v>WASHER,FLAT</v>
      </c>
      <c r="M306" s="7" t="str">
        <f>IF([1]All!$AJ307=0,"",[1]All!$AJ307)</f>
        <v xml:space="preserve">BVK2 </v>
      </c>
      <c r="N306" s="7" t="str">
        <f>IF([1]All!$R307=0,"",[1]All!$R307)</f>
        <v>5310</v>
      </c>
      <c r="O306" s="7" t="str">
        <f>IF([1]All!$S307=0,"",[1]All!$S307)</f>
        <v>016010952</v>
      </c>
      <c r="P306" s="7" t="str">
        <f>IF([1]All!$V307=0,"",[1]All!$V307)</f>
        <v>0000000008</v>
      </c>
      <c r="Q306" s="3" t="str">
        <f t="shared" si="29"/>
        <v>$0.08</v>
      </c>
      <c r="R306" s="8" t="str">
        <f>IF([1]All!$F307=0,"",[1]All!$F307)</f>
        <v>MW6380000A20000</v>
      </c>
    </row>
    <row r="307" spans="1:18">
      <c r="A307" s="7"/>
      <c r="B307" s="3">
        <f t="shared" si="24"/>
        <v>68</v>
      </c>
      <c r="C307" s="3" t="str">
        <f t="shared" si="25"/>
        <v>D</v>
      </c>
      <c r="D307" s="9" t="str">
        <f t="shared" si="26"/>
        <v>94205A260</v>
      </c>
      <c r="E307" s="3" t="str">
        <f t="shared" si="27"/>
        <v>BV9L  94205A260</v>
      </c>
      <c r="F307" s="10" t="str">
        <f t="shared" si="28"/>
        <v>PCCN: CRGARM:-:PLISN: BV9L :-:PCC: TIT :-: CAGE: 39428:-:PART NUMBER: 94205A260:-:NOMENCLATURE: NUT,SELF-LOCKING,HE:-:PRICE: $0.32:-:UNIQUE MODS: NO:-:PROPRIETARILY MFG FOR OEM: NO:-: :-: :-: :-:NSN: 5310016200203 :-: NHA: MIL-001-1175</v>
      </c>
      <c r="G307" s="8" t="str">
        <f>IF([1]All!$B308="","",[1]All!$B308)</f>
        <v xml:space="preserve">BV9L </v>
      </c>
      <c r="H307" s="8"/>
      <c r="I307" s="8" t="str">
        <f>IF([1]All!$D308=0,"",[1]All!$D308)</f>
        <v>D</v>
      </c>
      <c r="J307" s="8" t="str">
        <f>IF([1]All!$E308=0,"",[1]All!$E308)</f>
        <v>39428</v>
      </c>
      <c r="K307" s="8" t="s">
        <v>233</v>
      </c>
      <c r="L307" s="11" t="str">
        <f>IF([1]All!$L308=0,"",[1]All!$L308)</f>
        <v>NUT,SELF-LOCKING,HE</v>
      </c>
      <c r="M307" s="7" t="str">
        <f>IF([1]All!$AJ308=0,"",[1]All!$AJ308)</f>
        <v xml:space="preserve">BVK2 </v>
      </c>
      <c r="N307" s="7" t="str">
        <f>IF([1]All!$R308=0,"",[1]All!$R308)</f>
        <v>5310</v>
      </c>
      <c r="O307" s="7" t="str">
        <f>IF([1]All!$S308=0,"",[1]All!$S308)</f>
        <v>016200203</v>
      </c>
      <c r="P307" s="7" t="str">
        <f>IF([1]All!$V308=0,"",[1]All!$V308)</f>
        <v>0000000032</v>
      </c>
      <c r="Q307" s="3" t="str">
        <f t="shared" si="29"/>
        <v>$0.32</v>
      </c>
      <c r="R307" s="8" t="str">
        <f>IF([1]All!$F308=0,"",[1]All!$F308)</f>
        <v>94205A260</v>
      </c>
    </row>
    <row r="308" spans="1:18">
      <c r="A308" s="7"/>
      <c r="B308" s="3">
        <f t="shared" si="24"/>
        <v>68</v>
      </c>
      <c r="C308" s="3" t="str">
        <f t="shared" si="25"/>
        <v>D</v>
      </c>
      <c r="D308" s="9" t="str">
        <f t="shared" si="26"/>
        <v>93635A416</v>
      </c>
      <c r="E308" s="3" t="str">
        <f t="shared" si="27"/>
        <v>BWFG  93635A416</v>
      </c>
      <c r="F308" s="10" t="str">
        <f t="shared" si="28"/>
        <v>PCCN: CRGARM:-:PLISN: BWFG :-:PCC: TIT :-: CAGE: 39428:-:PART NUMBER: 93635A416:-:NOMENCLATURE: SCREW,CAP,HEXAGON H:-:PRICE: $1.10:-:UNIQUE MODS: NO:-:PROPRIETARILY MFG FOR OEM: NO:-: :-: :-: :-:NSN: 5305015606981 :-: NHA: MIL-001-1175</v>
      </c>
      <c r="G308" s="8" t="str">
        <f>IF([1]All!$B309="","",[1]All!$B309)</f>
        <v xml:space="preserve">BWFG </v>
      </c>
      <c r="H308" s="8"/>
      <c r="I308" s="8" t="str">
        <f>IF([1]All!$D309=0,"",[1]All!$D309)</f>
        <v>D</v>
      </c>
      <c r="J308" s="8" t="str">
        <f>IF([1]All!$E309=0,"",[1]All!$E309)</f>
        <v>39428</v>
      </c>
      <c r="K308" s="8" t="s">
        <v>234</v>
      </c>
      <c r="L308" s="11" t="str">
        <f>IF([1]All!$L309=0,"",[1]All!$L309)</f>
        <v>SCREW,CAP,HEXAGON H</v>
      </c>
      <c r="M308" s="7" t="str">
        <f>IF([1]All!$AJ309=0,"",[1]All!$AJ309)</f>
        <v xml:space="preserve">BVK2 </v>
      </c>
      <c r="N308" s="7" t="str">
        <f>IF([1]All!$R309=0,"",[1]All!$R309)</f>
        <v>5305</v>
      </c>
      <c r="O308" s="7" t="str">
        <f>IF([1]All!$S309=0,"",[1]All!$S309)</f>
        <v>015606981</v>
      </c>
      <c r="P308" s="7" t="str">
        <f>IF([1]All!$V309=0,"",[1]All!$V309)</f>
        <v>0000000110</v>
      </c>
      <c r="Q308" s="3" t="str">
        <f t="shared" si="29"/>
        <v>$1.10</v>
      </c>
      <c r="R308" s="8" t="str">
        <f>IF([1]All!$F309=0,"",[1]All!$F309)</f>
        <v>93635A416</v>
      </c>
    </row>
    <row r="309" spans="1:18">
      <c r="A309" s="7"/>
      <c r="B309" s="3">
        <f t="shared" si="24"/>
        <v>68</v>
      </c>
      <c r="C309" s="3" t="str">
        <f t="shared" si="25"/>
        <v>D</v>
      </c>
      <c r="D309" s="9" t="str">
        <f t="shared" si="26"/>
        <v>94205A270</v>
      </c>
      <c r="E309" s="3" t="str">
        <f t="shared" si="27"/>
        <v>BWMC  94205A270</v>
      </c>
      <c r="F309" s="10" t="str">
        <f t="shared" si="28"/>
        <v>PCCN: CRGARM:-:PLISN: BWMC :-:PCC: TIT :-: CAGE: 39428:-:PART NUMBER: 94205A270:-:NOMENCLATURE: NUT,SELF-LOCKING,HE:-:PRICE: $0.43:-:UNIQUE MODS: NO:-:PROPRIETARILY MFG FOR OEM: NO:-: :-: :-: :-:NSN: 5310015533365 :-: NHA: MIL-001-1175</v>
      </c>
      <c r="G309" s="8" t="str">
        <f>IF([1]All!$B310="","",[1]All!$B310)</f>
        <v xml:space="preserve">BWMC </v>
      </c>
      <c r="H309" s="8"/>
      <c r="I309" s="8" t="str">
        <f>IF([1]All!$D310=0,"",[1]All!$D310)</f>
        <v>D</v>
      </c>
      <c r="J309" s="8" t="str">
        <f>IF([1]All!$E310=0,"",[1]All!$E310)</f>
        <v>39428</v>
      </c>
      <c r="K309" s="8" t="s">
        <v>235</v>
      </c>
      <c r="L309" s="11" t="str">
        <f>IF([1]All!$L310=0,"",[1]All!$L310)</f>
        <v>NUT,SELF-LOCKING,HE</v>
      </c>
      <c r="M309" s="7" t="str">
        <f>IF([1]All!$AJ310=0,"",[1]All!$AJ310)</f>
        <v xml:space="preserve">BVK2 </v>
      </c>
      <c r="N309" s="7" t="str">
        <f>IF([1]All!$R310=0,"",[1]All!$R310)</f>
        <v>5310</v>
      </c>
      <c r="O309" s="7" t="str">
        <f>IF([1]All!$S310=0,"",[1]All!$S310)</f>
        <v>015533365</v>
      </c>
      <c r="P309" s="7" t="str">
        <f>IF([1]All!$V310=0,"",[1]All!$V310)</f>
        <v>0000000043</v>
      </c>
      <c r="Q309" s="3" t="str">
        <f t="shared" si="29"/>
        <v>$0.43</v>
      </c>
      <c r="R309" s="8" t="str">
        <f>IF([1]All!$F310=0,"",[1]All!$F310)</f>
        <v>94205A270</v>
      </c>
    </row>
    <row r="310" spans="1:18">
      <c r="A310" s="7"/>
      <c r="B310" s="3">
        <f t="shared" si="24"/>
        <v>68</v>
      </c>
      <c r="C310" s="3" t="str">
        <f t="shared" si="25"/>
        <v>D</v>
      </c>
      <c r="D310" s="9" t="str">
        <f t="shared" si="26"/>
        <v>12500836</v>
      </c>
      <c r="E310" s="3" t="str">
        <f t="shared" si="27"/>
        <v>BWS8  12500836</v>
      </c>
      <c r="F310" s="10" t="str">
        <f t="shared" si="28"/>
        <v>PCCN: CRGARM:-:PLISN: BWS8 :-:PCC: TIT :-: CAGE: 52315:-:PART NUMBER: 12500836:-:NOMENCLATURE: WASHER,FLAT:-:PRICE: $0.30:-:UNIQUE MODS: NO:-:PROPRIETARILY MFG FOR OEM: NO:-: :-: :-: :-:NSN: 5310015088503 :-: NHA: MIL-001-1175</v>
      </c>
      <c r="G310" s="8" t="str">
        <f>IF([1]All!$B311="","",[1]All!$B311)</f>
        <v xml:space="preserve">BWS8 </v>
      </c>
      <c r="H310" s="8"/>
      <c r="I310" s="8" t="str">
        <f>IF([1]All!$D311=0,"",[1]All!$D311)</f>
        <v>D</v>
      </c>
      <c r="J310" s="8" t="str">
        <f>IF([1]All!$E311=0,"",[1]All!$E311)</f>
        <v>52315</v>
      </c>
      <c r="K310" s="8" t="s">
        <v>236</v>
      </c>
      <c r="L310" s="11" t="str">
        <f>IF([1]All!$L311=0,"",[1]All!$L311)</f>
        <v>WASHER,FLAT</v>
      </c>
      <c r="M310" s="7" t="str">
        <f>IF([1]All!$AJ311=0,"",[1]All!$AJ311)</f>
        <v xml:space="preserve">BVK2 </v>
      </c>
      <c r="N310" s="7" t="str">
        <f>IF([1]All!$R311=0,"",[1]All!$R311)</f>
        <v>5310</v>
      </c>
      <c r="O310" s="7" t="str">
        <f>IF([1]All!$S311=0,"",[1]All!$S311)</f>
        <v>015088503</v>
      </c>
      <c r="P310" s="7" t="str">
        <f>IF([1]All!$V311=0,"",[1]All!$V311)</f>
        <v>0000000030</v>
      </c>
      <c r="Q310" s="3" t="str">
        <f t="shared" si="29"/>
        <v>$0.30</v>
      </c>
      <c r="R310" s="8" t="str">
        <f>IF([1]All!$F311=0,"",[1]All!$F311)</f>
        <v>12500836</v>
      </c>
    </row>
    <row r="311" spans="1:18">
      <c r="A311" s="7"/>
      <c r="B311" s="3">
        <f t="shared" si="24"/>
        <v>68</v>
      </c>
      <c r="C311" s="3" t="str">
        <f t="shared" si="25"/>
        <v>D</v>
      </c>
      <c r="D311" s="9" t="str">
        <f t="shared" si="26"/>
        <v>MIL-001-1524</v>
      </c>
      <c r="E311" s="3" t="str">
        <f t="shared" si="27"/>
        <v>BWY4  MIL-001-1524</v>
      </c>
      <c r="F311" s="10" t="str">
        <f t="shared" si="28"/>
        <v>PCCN: CRGARM:-:PLISN: BWY4 :-:PCC: TIT :-: CAGE: 0UJB5:-:PART NUMBER: MIL-001-1524:-:NOMENCLATURE: PAD,SHOCK MOUNT:-:PRICE: $0.30:-:UNIQUE MODS: NO:-:PROPRIETARILY MFG FOR OEM: NO:-: :-: :-: :-: :-: NHA: MIL-001-1175</v>
      </c>
      <c r="G311" s="8" t="str">
        <f>IF([1]All!$B312="","",[1]All!$B312)</f>
        <v xml:space="preserve">BWY4 </v>
      </c>
      <c r="H311" s="8"/>
      <c r="I311" s="8" t="str">
        <f>IF([1]All!$D312=0,"",[1]All!$D312)</f>
        <v>D</v>
      </c>
      <c r="J311" s="8" t="str">
        <f>IF([1]All!$E312=0,"",[1]All!$E312)</f>
        <v>0UJB5</v>
      </c>
      <c r="K311" s="8" t="s">
        <v>237</v>
      </c>
      <c r="L311" s="11" t="str">
        <f>IF([1]All!$L312=0,"",[1]All!$L312)</f>
        <v>PAD,SHOCK MOUNT</v>
      </c>
      <c r="M311" s="7" t="str">
        <f>IF([1]All!$AJ312=0,"",[1]All!$AJ312)</f>
        <v xml:space="preserve">BVK2 </v>
      </c>
      <c r="N311" s="7" t="str">
        <f>IF([1]All!$R312=0,"",[1]All!$R312)</f>
        <v/>
      </c>
      <c r="O311" s="7" t="str">
        <f>IF([1]All!$S312=0,"",[1]All!$S312)</f>
        <v/>
      </c>
      <c r="P311" s="7" t="str">
        <f>IF([1]All!$V312=0,"",[1]All!$V312)</f>
        <v>0000000030</v>
      </c>
      <c r="Q311" s="3" t="str">
        <f t="shared" si="29"/>
        <v>$0.30</v>
      </c>
      <c r="R311" s="8" t="str">
        <f>IF([1]All!$F312=0,"",[1]All!$F312)</f>
        <v>MIL-001-1524</v>
      </c>
    </row>
    <row r="312" spans="1:18">
      <c r="A312" s="7"/>
      <c r="B312" s="3">
        <f t="shared" si="24"/>
        <v>68</v>
      </c>
      <c r="C312" s="3" t="str">
        <f t="shared" si="25"/>
        <v>D</v>
      </c>
      <c r="D312" s="9" t="str">
        <f t="shared" si="26"/>
        <v>MIL-001-1525</v>
      </c>
      <c r="E312" s="3" t="str">
        <f t="shared" si="27"/>
        <v>BW40  MIL-001-1525</v>
      </c>
      <c r="F312" s="10" t="str">
        <f t="shared" si="28"/>
        <v>PCCN: CRGARM:-:PLISN: BW40 :-:PCC: TIT :-: CAGE: 0UJB5:-:PART NUMBER: MIL-001-1525:-:NOMENCLATURE: BRACKET,MOUNTING:-:PRICE: $6.50:-:UNIQUE MODS: NO:-:PROPRIETARILY MFG FOR OEM: NO:-: :-: :-: :-: :-: NHA: MIL-001-1175</v>
      </c>
      <c r="G312" s="8" t="str">
        <f>IF([1]All!$B313="","",[1]All!$B313)</f>
        <v xml:space="preserve">BW40 </v>
      </c>
      <c r="H312" s="8"/>
      <c r="I312" s="8" t="str">
        <f>IF([1]All!$D313=0,"",[1]All!$D313)</f>
        <v>D</v>
      </c>
      <c r="J312" s="8" t="str">
        <f>IF([1]All!$E313=0,"",[1]All!$E313)</f>
        <v>0UJB5</v>
      </c>
      <c r="K312" s="8" t="s">
        <v>238</v>
      </c>
      <c r="L312" s="11" t="str">
        <f>IF([1]All!$L313=0,"",[1]All!$L313)</f>
        <v>BRACKET,MOUNTING</v>
      </c>
      <c r="M312" s="7" t="str">
        <f>IF([1]All!$AJ313=0,"",[1]All!$AJ313)</f>
        <v xml:space="preserve">BVK2 </v>
      </c>
      <c r="N312" s="7" t="str">
        <f>IF([1]All!$R313=0,"",[1]All!$R313)</f>
        <v/>
      </c>
      <c r="O312" s="7" t="str">
        <f>IF([1]All!$S313=0,"",[1]All!$S313)</f>
        <v/>
      </c>
      <c r="P312" s="7" t="str">
        <f>IF([1]All!$V313=0,"",[1]All!$V313)</f>
        <v>0000000650</v>
      </c>
      <c r="Q312" s="3" t="str">
        <f t="shared" si="29"/>
        <v>$6.50</v>
      </c>
      <c r="R312" s="8" t="str">
        <f>IF([1]All!$F313=0,"",[1]All!$F313)</f>
        <v>MIL-001-1525</v>
      </c>
    </row>
    <row r="313" spans="1:18">
      <c r="A313" s="7"/>
      <c r="B313" s="3">
        <f t="shared" si="24"/>
        <v>68</v>
      </c>
      <c r="C313" s="3" t="str">
        <f t="shared" si="25"/>
        <v>D</v>
      </c>
      <c r="D313" s="9" t="str">
        <f t="shared" si="26"/>
        <v>MIL-001-1176</v>
      </c>
      <c r="E313" s="3" t="str">
        <f t="shared" si="27"/>
        <v>BW64  MIL-001-1176</v>
      </c>
      <c r="F313" s="10" t="str">
        <f t="shared" si="28"/>
        <v>PCCN: CRGARM:-:PLISN: BW64 :-:PCC: TIT :-: CAGE: 0UJB5:-:PART NUMBER: MIL-001-1176:-:NOMENCLATURE: SEARCHLIGHT:-:PRICE: $225.00:-:UNIQUE MODS: NO:-:PROPRIETARILY MFG FOR OEM: NO:-: :-: :-: :-: :-: NHA: MIL-001-1175</v>
      </c>
      <c r="G313" s="8" t="str">
        <f>IF([1]All!$B314="","",[1]All!$B314)</f>
        <v xml:space="preserve">BW64 </v>
      </c>
      <c r="H313" s="8"/>
      <c r="I313" s="8" t="str">
        <f>IF([1]All!$D314=0,"",[1]All!$D314)</f>
        <v>D</v>
      </c>
      <c r="J313" s="8" t="str">
        <f>IF([1]All!$E314=0,"",[1]All!$E314)</f>
        <v>0UJB5</v>
      </c>
      <c r="K313" s="8" t="s">
        <v>401</v>
      </c>
      <c r="L313" s="11" t="str">
        <f>IF([1]All!$L314=0,"",[1]All!$L314)</f>
        <v>SEARCHLIGHT</v>
      </c>
      <c r="M313" s="7" t="str">
        <f>IF([1]All!$AJ314=0,"",[1]All!$AJ314)</f>
        <v xml:space="preserve">BVK2 </v>
      </c>
      <c r="N313" s="7" t="str">
        <f>IF([1]All!$R314=0,"",[1]All!$R314)</f>
        <v/>
      </c>
      <c r="O313" s="7" t="str">
        <f>IF([1]All!$S314=0,"",[1]All!$S314)</f>
        <v/>
      </c>
      <c r="P313" s="7" t="str">
        <f>IF([1]All!$V314=0,"",[1]All!$V314)</f>
        <v>0000022500</v>
      </c>
      <c r="Q313" s="3" t="str">
        <f t="shared" si="29"/>
        <v>$225.00</v>
      </c>
      <c r="R313" s="8" t="str">
        <f>IF([1]All!$F314=0,"",[1]All!$F314)</f>
        <v>MIL-001-1176</v>
      </c>
    </row>
    <row r="314" spans="1:18">
      <c r="A314" s="7"/>
      <c r="B314" s="3">
        <f t="shared" si="24"/>
        <v>67</v>
      </c>
      <c r="C314" s="3" t="str">
        <f t="shared" si="25"/>
        <v>C</v>
      </c>
      <c r="D314" s="9" t="str">
        <f t="shared" si="26"/>
        <v>MIL-001-1185</v>
      </c>
      <c r="E314" s="3" t="str">
        <f t="shared" si="27"/>
        <v>BXAW  MIL-001-1185</v>
      </c>
      <c r="F314" s="10" t="str">
        <f t="shared" si="28"/>
        <v>PCCN: CRGARM:-:PLISN: BXAW :-:PCC: TIT :-: CAGE: 0UJB5:-:PART NUMBER: MIL-001-1185:-:NOMENCLATURE: PUMP UNIT,HYDRAULIC:-:PRICE: $4625.10:-:UNIQUE MODS: NO:-:PROPRIETARILY MFG FOR OEM: NO:-: :-: :-: :-: :-: NHA: 12574288</v>
      </c>
      <c r="G314" s="8" t="str">
        <f>IF([1]All!$B315="","",[1]All!$B315)</f>
        <v xml:space="preserve">BXAW </v>
      </c>
      <c r="H314" s="8"/>
      <c r="I314" s="8" t="str">
        <f>IF([1]All!$D315=0,"",[1]All!$D315)</f>
        <v>C</v>
      </c>
      <c r="J314" s="8" t="str">
        <f>IF([1]All!$E315=0,"",[1]All!$E315)</f>
        <v>0UJB5</v>
      </c>
      <c r="K314" s="8" t="s">
        <v>239</v>
      </c>
      <c r="L314" s="11" t="str">
        <f>IF([1]All!$L315=0,"",[1]All!$L315)</f>
        <v>PUMP UNIT,HYDRAULIC</v>
      </c>
      <c r="M314" s="7" t="str">
        <f>IF([1]All!$AJ315=0,"",[1]All!$AJ315)</f>
        <v xml:space="preserve">AAF6 </v>
      </c>
      <c r="N314" s="7" t="str">
        <f>IF([1]All!$R315=0,"",[1]All!$R315)</f>
        <v/>
      </c>
      <c r="O314" s="7" t="str">
        <f>IF([1]All!$S315=0,"",[1]All!$S315)</f>
        <v/>
      </c>
      <c r="P314" s="7" t="str">
        <f>IF([1]All!$V315=0,"",[1]All!$V315)</f>
        <v>0000462510</v>
      </c>
      <c r="Q314" s="3" t="str">
        <f t="shared" si="29"/>
        <v>$4625.10</v>
      </c>
      <c r="R314" s="8" t="str">
        <f>IF([1]All!$F315=0,"",[1]All!$F315)</f>
        <v>MIL-001-1185</v>
      </c>
    </row>
    <row r="315" spans="1:18">
      <c r="A315" s="7"/>
      <c r="B315" s="3">
        <f t="shared" si="24"/>
        <v>68</v>
      </c>
      <c r="C315" s="3" t="str">
        <f t="shared" si="25"/>
        <v>D</v>
      </c>
      <c r="D315" s="9" t="str">
        <f t="shared" si="26"/>
        <v>MIL-001-1190</v>
      </c>
      <c r="E315" s="3" t="str">
        <f t="shared" si="27"/>
        <v>BXGS  MIL-001-1190</v>
      </c>
      <c r="F315" s="10" t="str">
        <f t="shared" si="28"/>
        <v>PCCN: CRGARM:-:PLISN: BXGS :-:PCC: TIT :-: CAGE: 0UJB5:-:PART NUMBER: MIL-001-1190:-:NOMENCLATURE: PUMP UNIT,HYDRAULIC:-:PRICE: $2900.00:-:UNIQUE MODS: NO:-:PROPRIETARILY MFG FOR OEM: NO:-: :-: :-: :-: :-: NHA: MIL-001-1185</v>
      </c>
      <c r="G315" s="8" t="str">
        <f>IF([1]All!$B316="","",[1]All!$B316)</f>
        <v xml:space="preserve">BXGS </v>
      </c>
      <c r="H315" s="8"/>
      <c r="I315" s="8" t="str">
        <f>IF([1]All!$D316=0,"",[1]All!$D316)</f>
        <v>D</v>
      </c>
      <c r="J315" s="8" t="str">
        <f>IF([1]All!$E316=0,"",[1]All!$E316)</f>
        <v>0UJB5</v>
      </c>
      <c r="K315" s="8" t="s">
        <v>240</v>
      </c>
      <c r="L315" s="11" t="str">
        <f>IF([1]All!$L316=0,"",[1]All!$L316)</f>
        <v>PUMP UNIT,HYDRAULIC</v>
      </c>
      <c r="M315" s="7" t="str">
        <f>IF([1]All!$AJ316=0,"",[1]All!$AJ316)</f>
        <v xml:space="preserve">BXAW </v>
      </c>
      <c r="N315" s="7" t="str">
        <f>IF([1]All!$R316=0,"",[1]All!$R316)</f>
        <v/>
      </c>
      <c r="O315" s="7" t="str">
        <f>IF([1]All!$S316=0,"",[1]All!$S316)</f>
        <v/>
      </c>
      <c r="P315" s="7" t="str">
        <f>IF([1]All!$V316=0,"",[1]All!$V316)</f>
        <v>0000290000</v>
      </c>
      <c r="Q315" s="3" t="str">
        <f t="shared" si="29"/>
        <v>$2900.00</v>
      </c>
      <c r="R315" s="8" t="str">
        <f>IF([1]All!$F316=0,"",[1]All!$F316)</f>
        <v>MIL-001-1190</v>
      </c>
    </row>
    <row r="316" spans="1:18">
      <c r="A316" s="7"/>
      <c r="B316" s="3">
        <f t="shared" si="24"/>
        <v>69</v>
      </c>
      <c r="C316" s="3" t="str">
        <f t="shared" si="25"/>
        <v>E</v>
      </c>
      <c r="D316" s="9" t="str">
        <f t="shared" si="26"/>
        <v>MIL-001-841</v>
      </c>
      <c r="E316" s="3" t="str">
        <f t="shared" si="27"/>
        <v>BXNN  MIL-001-841</v>
      </c>
      <c r="F316" s="10" t="str">
        <f t="shared" si="28"/>
        <v>PCCN: CRGARM:-:PLISN: BXNN :-:PCC: TIT :-: CAGE: 0UJB5:-:PART NUMBER: MIL-001-841:-:NOMENCLATURE: PUMP UNIT,HYDRAULIC:-:PRICE: $2358.00:-:UNIQUE MODS: NO:-:PROPRIETARILY MFG FOR OEM: NO:-: :-: :-: :-: :-: NHA: MIL-001-1190</v>
      </c>
      <c r="G316" s="8" t="str">
        <f>IF([1]All!$B317="","",[1]All!$B317)</f>
        <v xml:space="preserve">BXNN </v>
      </c>
      <c r="H316" s="8"/>
      <c r="I316" s="8" t="str">
        <f>IF([1]All!$D317=0,"",[1]All!$D317)</f>
        <v>E</v>
      </c>
      <c r="J316" s="8" t="str">
        <f>IF([1]All!$E317=0,"",[1]All!$E317)</f>
        <v>0UJB5</v>
      </c>
      <c r="K316" s="8" t="s">
        <v>241</v>
      </c>
      <c r="L316" s="11" t="str">
        <f>IF([1]All!$L317=0,"",[1]All!$L317)</f>
        <v>PUMP UNIT,HYDRAULIC</v>
      </c>
      <c r="M316" s="7" t="str">
        <f>IF([1]All!$AJ317=0,"",[1]All!$AJ317)</f>
        <v xml:space="preserve">BXGS </v>
      </c>
      <c r="N316" s="7" t="str">
        <f>IF([1]All!$R317=0,"",[1]All!$R317)</f>
        <v/>
      </c>
      <c r="O316" s="7" t="str">
        <f>IF([1]All!$S317=0,"",[1]All!$S317)</f>
        <v/>
      </c>
      <c r="P316" s="7" t="str">
        <f>IF([1]All!$V317=0,"",[1]All!$V317)</f>
        <v>0000235800</v>
      </c>
      <c r="Q316" s="3" t="str">
        <f t="shared" si="29"/>
        <v>$2358.00</v>
      </c>
      <c r="R316" s="8" t="str">
        <f>IF([1]All!$F317=0,"",[1]All!$F317)</f>
        <v>MIL-001-841</v>
      </c>
    </row>
    <row r="317" spans="1:18">
      <c r="A317" s="7"/>
      <c r="B317" s="3">
        <f t="shared" si="24"/>
        <v>70</v>
      </c>
      <c r="C317" s="3" t="str">
        <f t="shared" si="25"/>
        <v>F</v>
      </c>
      <c r="D317" s="9" t="str">
        <f t="shared" si="26"/>
        <v>MIL-001-512</v>
      </c>
      <c r="E317" s="3" t="str">
        <f t="shared" si="27"/>
        <v>BXUJ  MIL-001-512</v>
      </c>
      <c r="F317" s="10" t="str">
        <f t="shared" si="28"/>
        <v>PCCN: CRGARM:-:PLISN: BXUJ :-:PCC: TIT :-: CAGE: 0UJB5:-:PART NUMBER: MIL-001-512:-:NOMENCLATURE: MOTOR,HYDRAULIC:-:PRICE: $2274.00:-:UNIQUE MODS: NO:-:PROPRIETARILY MFG FOR OEM: NO:-: :-: :-: :-:NSN: 4320015770446 :-: NHA: MIL-001-841</v>
      </c>
      <c r="G317" s="8" t="str">
        <f>IF([1]All!$B318="","",[1]All!$B318)</f>
        <v xml:space="preserve">BXUJ </v>
      </c>
      <c r="H317" s="8"/>
      <c r="I317" s="8" t="str">
        <f>IF([1]All!$D318=0,"",[1]All!$D318)</f>
        <v>F</v>
      </c>
      <c r="J317" s="8" t="str">
        <f>IF([1]All!$E318=0,"",[1]All!$E318)</f>
        <v>0UJB5</v>
      </c>
      <c r="K317" s="8" t="s">
        <v>242</v>
      </c>
      <c r="L317" s="11" t="str">
        <f>IF([1]All!$L318=0,"",[1]All!$L318)</f>
        <v>MOTOR,HYDRAULIC</v>
      </c>
      <c r="M317" s="7" t="str">
        <f>IF([1]All!$AJ318=0,"",[1]All!$AJ318)</f>
        <v xml:space="preserve">BXNN </v>
      </c>
      <c r="N317" s="7" t="str">
        <f>IF([1]All!$R318=0,"",[1]All!$R318)</f>
        <v>4320</v>
      </c>
      <c r="O317" s="7" t="str">
        <f>IF([1]All!$S318=0,"",[1]All!$S318)</f>
        <v>015770446</v>
      </c>
      <c r="P317" s="7" t="str">
        <f>IF([1]All!$V318=0,"",[1]All!$V318)</f>
        <v>0000227400</v>
      </c>
      <c r="Q317" s="3" t="str">
        <f t="shared" si="29"/>
        <v>$2274.00</v>
      </c>
      <c r="R317" s="8" t="str">
        <f>IF([1]All!$F318=0,"",[1]All!$F318)</f>
        <v>MIL-001-512</v>
      </c>
    </row>
    <row r="318" spans="1:18">
      <c r="A318" s="7"/>
      <c r="B318" s="3">
        <f t="shared" si="24"/>
        <v>70</v>
      </c>
      <c r="C318" s="3" t="str">
        <f t="shared" si="25"/>
        <v>F</v>
      </c>
      <c r="D318" s="9" t="str">
        <f t="shared" si="26"/>
        <v>MIL-001-515</v>
      </c>
      <c r="E318" s="3" t="str">
        <f t="shared" si="27"/>
        <v>BX0E  MIL-001-515</v>
      </c>
      <c r="F318" s="10" t="str">
        <f t="shared" si="28"/>
        <v>PCCN: CRGARM:-:PLISN: BX0E :-:PCC: TIT :-: CAGE: 0UJB5:-:PART NUMBER: MIL-001-515:-:NOMENCLATURE: SOLENOID ASSEMBLY:-:PRICE: $499.29:-:UNIQUE MODS: NO:-:PROPRIETARILY MFG FOR OEM: NO:-: :-: :-: :-:NSN: 5945015645682 :-: NHA: MIL-001-841</v>
      </c>
      <c r="G318" s="8" t="str">
        <f>IF([1]All!$B319="","",[1]All!$B319)</f>
        <v xml:space="preserve">BX0E </v>
      </c>
      <c r="H318" s="8"/>
      <c r="I318" s="8" t="str">
        <f>IF([1]All!$D319=0,"",[1]All!$D319)</f>
        <v>F</v>
      </c>
      <c r="J318" s="8" t="str">
        <f>IF([1]All!$E319=0,"",[1]All!$E319)</f>
        <v>0UJB5</v>
      </c>
      <c r="K318" s="8" t="s">
        <v>243</v>
      </c>
      <c r="L318" s="11" t="str">
        <f>IF([1]All!$L319=0,"",[1]All!$L319)</f>
        <v>SOLENOID ASSEMBLY</v>
      </c>
      <c r="M318" s="7" t="str">
        <f>IF([1]All!$AJ319=0,"",[1]All!$AJ319)</f>
        <v xml:space="preserve">BXNN </v>
      </c>
      <c r="N318" s="7" t="str">
        <f>IF([1]All!$R319=0,"",[1]All!$R319)</f>
        <v>5945</v>
      </c>
      <c r="O318" s="7" t="str">
        <f>IF([1]All!$S319=0,"",[1]All!$S319)</f>
        <v>015645682</v>
      </c>
      <c r="P318" s="7" t="str">
        <f>IF([1]All!$V319=0,"",[1]All!$V319)</f>
        <v>0000049929</v>
      </c>
      <c r="Q318" s="3" t="str">
        <f t="shared" si="29"/>
        <v>$499.29</v>
      </c>
      <c r="R318" s="8" t="str">
        <f>IF([1]All!$F319=0,"",[1]All!$F319)</f>
        <v>MIL-001-515</v>
      </c>
    </row>
    <row r="319" spans="1:18">
      <c r="A319" s="7"/>
      <c r="B319" s="3">
        <f t="shared" si="24"/>
        <v>70</v>
      </c>
      <c r="C319" s="3" t="str">
        <f t="shared" si="25"/>
        <v>F</v>
      </c>
      <c r="D319" s="9" t="str">
        <f t="shared" si="26"/>
        <v>MIL-001-580</v>
      </c>
      <c r="E319" s="3" t="str">
        <f t="shared" si="27"/>
        <v>BX6A  MIL-001-580</v>
      </c>
      <c r="F319" s="10" t="str">
        <f t="shared" si="28"/>
        <v>PCCN: CRGARM:-:PLISN: BX6A :-:PCC: TIT :-: CAGE: 0UJB5:-:PART NUMBER: MIL-001-580:-:NOMENCLATURE: SCREW,CAP,HEXAGON H:-:PRICE: $0.13:-:UNIQUE MODS: NO:-:PROPRIETARILY MFG FOR OEM: NO:-: :-: :-: :-:NSN: 5305015595391 :-: NHA: MIL-001-841</v>
      </c>
      <c r="G319" s="8" t="str">
        <f>IF([1]All!$B320="","",[1]All!$B320)</f>
        <v xml:space="preserve">BX6A </v>
      </c>
      <c r="H319" s="8"/>
      <c r="I319" s="8" t="str">
        <f>IF([1]All!$D320=0,"",[1]All!$D320)</f>
        <v>F</v>
      </c>
      <c r="J319" s="8" t="str">
        <f>IF([1]All!$E320=0,"",[1]All!$E320)</f>
        <v>0UJB5</v>
      </c>
      <c r="K319" s="8" t="s">
        <v>244</v>
      </c>
      <c r="L319" s="11" t="str">
        <f>IF([1]All!$L320=0,"",[1]All!$L320)</f>
        <v>SCREW,CAP,HEXAGON H</v>
      </c>
      <c r="M319" s="7" t="str">
        <f>IF([1]All!$AJ320=0,"",[1]All!$AJ320)</f>
        <v xml:space="preserve">BXNN </v>
      </c>
      <c r="N319" s="7" t="str">
        <f>IF([1]All!$R320=0,"",[1]All!$R320)</f>
        <v>5305</v>
      </c>
      <c r="O319" s="7" t="str">
        <f>IF([1]All!$S320=0,"",[1]All!$S320)</f>
        <v>015595391</v>
      </c>
      <c r="P319" s="7" t="str">
        <f>IF([1]All!$V320=0,"",[1]All!$V320)</f>
        <v>0000000013</v>
      </c>
      <c r="Q319" s="3" t="str">
        <f t="shared" si="29"/>
        <v>$0.13</v>
      </c>
      <c r="R319" s="8" t="str">
        <f>IF([1]All!$F320=0,"",[1]All!$F320)</f>
        <v>MIL-001-580</v>
      </c>
    </row>
    <row r="320" spans="1:18">
      <c r="A320" s="7"/>
      <c r="B320" s="3">
        <f t="shared" si="24"/>
        <v>70</v>
      </c>
      <c r="C320" s="3" t="str">
        <f t="shared" si="25"/>
        <v>F</v>
      </c>
      <c r="D320" s="9" t="str">
        <f t="shared" si="26"/>
        <v>12759-90077</v>
      </c>
      <c r="E320" s="3" t="str">
        <f t="shared" si="27"/>
        <v>BYB6  12759-90077</v>
      </c>
      <c r="F320" s="10" t="str">
        <f t="shared" si="28"/>
        <v>PCCN: CRGARM:-:PLISN: BYB6 :-:PCC: TIT :-: CAGE: 0Y3H3:-:PART NUMBER: 12759-90077:-:NOMENCLATURE: WASHER,FLAT :-:PRICE: $0.02:-:UNIQUE MODS: NO:-:PROPRIETARILY MFG FOR OEM: NO:-: :-: :-: :-:NSN: 5310013978096 :-: NHA: MIL-001-841</v>
      </c>
      <c r="G320" s="8" t="str">
        <f>IF([1]All!$B321="","",[1]All!$B321)</f>
        <v xml:space="preserve">BYB6 </v>
      </c>
      <c r="H320" s="8"/>
      <c r="I320" s="8" t="str">
        <f>IF([1]All!$D321=0,"",[1]All!$D321)</f>
        <v>F</v>
      </c>
      <c r="J320" s="8" t="str">
        <f>IF([1]All!$E321=0,"",[1]All!$E321)</f>
        <v>0Y3H3</v>
      </c>
      <c r="K320" s="8" t="s">
        <v>245</v>
      </c>
      <c r="L320" s="11" t="str">
        <f>IF([1]All!$L321=0,"",[1]All!$L321)</f>
        <v xml:space="preserve">WASHER,FLAT </v>
      </c>
      <c r="M320" s="7" t="str">
        <f>IF([1]All!$AJ321=0,"",[1]All!$AJ321)</f>
        <v xml:space="preserve">BXNN </v>
      </c>
      <c r="N320" s="7" t="str">
        <f>IF([1]All!$R321=0,"",[1]All!$R321)</f>
        <v>5310</v>
      </c>
      <c r="O320" s="7" t="str">
        <f>IF([1]All!$S321=0,"",[1]All!$S321)</f>
        <v>013978096</v>
      </c>
      <c r="P320" s="7" t="str">
        <f>IF([1]All!$V321=0,"",[1]All!$V321)</f>
        <v>0000000002</v>
      </c>
      <c r="Q320" s="3" t="str">
        <f t="shared" si="29"/>
        <v>$0.02</v>
      </c>
      <c r="R320" s="8" t="str">
        <f>IF([1]All!$F321=0,"",[1]All!$F321)</f>
        <v>12759-90077</v>
      </c>
    </row>
    <row r="321" spans="1:18">
      <c r="A321" s="7"/>
      <c r="B321" s="3">
        <f t="shared" si="24"/>
        <v>70</v>
      </c>
      <c r="C321" s="3" t="str">
        <f t="shared" si="25"/>
        <v>F</v>
      </c>
      <c r="D321" s="9" t="str">
        <f t="shared" si="26"/>
        <v>L140127-06</v>
      </c>
      <c r="E321" s="3" t="str">
        <f t="shared" si="27"/>
        <v>BYH2  L140127-06</v>
      </c>
      <c r="F321" s="10" t="str">
        <f t="shared" si="28"/>
        <v>PCCN: CRGARM:-:PLISN: BYH2 :-:PCC: TIT :-: CAGE: 19397:-:PART NUMBER: L140127-06:-:NOMENCLATURE: WASHER,LOCK:-:PRICE: $0.04:-:UNIQUE MODS: NO:-:PROPRIETARILY MFG FOR OEM: NO:-: :-: :-: :-:NSN: 5310015336196 :-: NHA: MIL-001-841</v>
      </c>
      <c r="G321" s="8" t="str">
        <f>IF([1]All!$B322="","",[1]All!$B322)</f>
        <v xml:space="preserve">BYH2 </v>
      </c>
      <c r="H321" s="8"/>
      <c r="I321" s="8" t="str">
        <f>IF([1]All!$D322=0,"",[1]All!$D322)</f>
        <v>F</v>
      </c>
      <c r="J321" s="8" t="str">
        <f>IF([1]All!$E322=0,"",[1]All!$E322)</f>
        <v>19397</v>
      </c>
      <c r="K321" s="8" t="s">
        <v>246</v>
      </c>
      <c r="L321" s="11" t="str">
        <f>IF([1]All!$L322=0,"",[1]All!$L322)</f>
        <v>WASHER,LOCK</v>
      </c>
      <c r="M321" s="7" t="str">
        <f>IF([1]All!$AJ322=0,"",[1]All!$AJ322)</f>
        <v xml:space="preserve">BXNN </v>
      </c>
      <c r="N321" s="7" t="str">
        <f>IF([1]All!$R322=0,"",[1]All!$R322)</f>
        <v>5310</v>
      </c>
      <c r="O321" s="7" t="str">
        <f>IF([1]All!$S322=0,"",[1]All!$S322)</f>
        <v>015336196</v>
      </c>
      <c r="P321" s="7" t="str">
        <f>IF([1]All!$V322=0,"",[1]All!$V322)</f>
        <v>0000000004</v>
      </c>
      <c r="Q321" s="3" t="str">
        <f t="shared" si="29"/>
        <v>$0.04</v>
      </c>
      <c r="R321" s="8" t="str">
        <f>IF([1]All!$F322=0,"",[1]All!$F322)</f>
        <v>L140127-06</v>
      </c>
    </row>
    <row r="322" spans="1:18">
      <c r="A322" s="7"/>
      <c r="B322" s="3">
        <f t="shared" ref="B322:B385" si="30">IF(C322="","",CODE(C322))</f>
        <v>70</v>
      </c>
      <c r="C322" s="3" t="str">
        <f t="shared" si="25"/>
        <v>F</v>
      </c>
      <c r="D322" s="9" t="str">
        <f t="shared" si="26"/>
        <v>MIL-001-593</v>
      </c>
      <c r="E322" s="3" t="str">
        <f t="shared" si="27"/>
        <v>BYPY  MIL-001-593</v>
      </c>
      <c r="F322" s="10" t="str">
        <f t="shared" si="28"/>
        <v>PCCN: CRGARM:-:PLISN: BYPY :-:PCC: TIT :-: CAGE: 0Y3H3:-:PART NUMBER: MIL-001-593:-:NOMENCLATURE: SCREW,CAP,SOCKET HE:-:PRICE: $0.10:-:UNIQUE MODS: NO:-:PROPRIETARILY MFG FOR OEM: NO:-: :-: :-: :-:NSN: 5305015665245 :-: NHA: MIL-001-841</v>
      </c>
      <c r="G322" s="8" t="str">
        <f>IF([1]All!$B323="","",[1]All!$B323)</f>
        <v xml:space="preserve">BYPY </v>
      </c>
      <c r="H322" s="8"/>
      <c r="I322" s="8" t="str">
        <f>IF([1]All!$D323=0,"",[1]All!$D323)</f>
        <v>F</v>
      </c>
      <c r="J322" s="8" t="str">
        <f>IF([1]All!$E323=0,"",[1]All!$E323)</f>
        <v>0Y3H3</v>
      </c>
      <c r="K322" s="8" t="s">
        <v>247</v>
      </c>
      <c r="L322" s="11" t="str">
        <f>IF([1]All!$L323=0,"",[1]All!$L323)</f>
        <v>SCREW,CAP,SOCKET HE</v>
      </c>
      <c r="M322" s="7" t="str">
        <f>IF([1]All!$AJ323=0,"",[1]All!$AJ323)</f>
        <v xml:space="preserve">BXNN </v>
      </c>
      <c r="N322" s="7" t="str">
        <f>IF([1]All!$R323=0,"",[1]All!$R323)</f>
        <v>5305</v>
      </c>
      <c r="O322" s="7" t="str">
        <f>IF([1]All!$S323=0,"",[1]All!$S323)</f>
        <v>015665245</v>
      </c>
      <c r="P322" s="7" t="str">
        <f>IF([1]All!$V323=0,"",[1]All!$V323)</f>
        <v>0000000010</v>
      </c>
      <c r="Q322" s="3" t="str">
        <f t="shared" si="29"/>
        <v>$0.10</v>
      </c>
      <c r="R322" s="8" t="str">
        <f>IF([1]All!$F323=0,"",[1]All!$F323)</f>
        <v>MIL-001-593</v>
      </c>
    </row>
    <row r="323" spans="1:18">
      <c r="A323" s="7"/>
      <c r="B323" s="3">
        <f t="shared" si="30"/>
        <v>70</v>
      </c>
      <c r="C323" s="3" t="str">
        <f t="shared" ref="C323:C386" si="31">I323</f>
        <v>F</v>
      </c>
      <c r="D323" s="9" t="str">
        <f t="shared" ref="D323:D386" si="32">K323</f>
        <v>MIL-001-594</v>
      </c>
      <c r="E323" s="3" t="str">
        <f t="shared" ref="E323:E386" si="33">G323&amp;" "&amp;D323</f>
        <v>BYVU  MIL-001-594</v>
      </c>
      <c r="F323" s="10" t="str">
        <f t="shared" ref="F323:F386" si="34">$A$2&amp;":-:"&amp;"PLISN: "&amp;$G323&amp;":-:"&amp;$A$4&amp;" :-: "&amp;"CAGE: "&amp;J323&amp;":-:"&amp;"PART NUMBER: " &amp; R323&amp;":-:NOMENCLATURE: "&amp;L323&amp;":-:PRICE: " &amp; Q323&amp;":-:"&amp;$A$9&amp;":-:"&amp;$A$10&amp;":-: :-: :-: :-:"&amp;IF(N323="","","NSN: "&amp;N323&amp;O323)&amp;IF(M323="",""," :-: NHA: "&amp;VLOOKUP(M323,G$2:L$65000,5,FALSE)&amp;IF(VLOOKUP(M323,G$2:O$65000,8,FALSE)="",""," :-: NHA NSN: "&amp;VLOOKUP(M323,G$2:O$65000,8,FALSE)&amp;VLOOKUP(M323,G$2:O$65000,9,FALSE)))</f>
        <v>PCCN: CRGARM:-:PLISN: BYVU :-:PCC: TIT :-: CAGE: 0UJB5:-:PART NUMBER: MIL-001-594:-:NOMENCLATURE: WASHER,FLAT:-:PRICE: $0.09:-:UNIQUE MODS: NO:-:PROPRIETARILY MFG FOR OEM: NO:-: :-: :-: :-:NSN: 5310014607243 :-: NHA: MIL-001-841</v>
      </c>
      <c r="G323" s="8" t="str">
        <f>IF([1]All!$B324="","",[1]All!$B324)</f>
        <v xml:space="preserve">BYVU </v>
      </c>
      <c r="H323" s="8"/>
      <c r="I323" s="8" t="str">
        <f>IF([1]All!$D324=0,"",[1]All!$D324)</f>
        <v>F</v>
      </c>
      <c r="J323" s="8" t="str">
        <f>IF([1]All!$E324=0,"",[1]All!$E324)</f>
        <v>0UJB5</v>
      </c>
      <c r="K323" s="8" t="s">
        <v>248</v>
      </c>
      <c r="L323" s="11" t="str">
        <f>IF([1]All!$L324=0,"",[1]All!$L324)</f>
        <v>WASHER,FLAT</v>
      </c>
      <c r="M323" s="7" t="str">
        <f>IF([1]All!$AJ324=0,"",[1]All!$AJ324)</f>
        <v xml:space="preserve">BXNN </v>
      </c>
      <c r="N323" s="7" t="str">
        <f>IF([1]All!$R324=0,"",[1]All!$R324)</f>
        <v>5310</v>
      </c>
      <c r="O323" s="7" t="str">
        <f>IF([1]All!$S324=0,"",[1]All!$S324)</f>
        <v>014607243</v>
      </c>
      <c r="P323" s="7" t="str">
        <f>IF([1]All!$V324=0,"",[1]All!$V324)</f>
        <v>0000000009</v>
      </c>
      <c r="Q323" s="3" t="str">
        <f t="shared" ref="Q323:Q386" si="35">IF(ISERROR(FIND(".",P323*0.01)),"$"&amp;P323*0.01&amp;".00",IF(FIND(".",P323*0.01)&lt;LEN(P323*0.01)-1,"$"&amp;P323*0.01,"$"&amp;P323*0.01&amp;"0"))</f>
        <v>$0.09</v>
      </c>
      <c r="R323" s="8" t="str">
        <f>IF([1]All!$F324=0,"",[1]All!$F324)</f>
        <v>MIL-001-594</v>
      </c>
    </row>
    <row r="324" spans="1:18">
      <c r="A324" s="7"/>
      <c r="B324" s="3">
        <f t="shared" si="30"/>
        <v>70</v>
      </c>
      <c r="C324" s="3" t="str">
        <f t="shared" si="31"/>
        <v>F</v>
      </c>
      <c r="D324" s="9" t="str">
        <f t="shared" si="32"/>
        <v>L140125-05</v>
      </c>
      <c r="E324" s="3" t="str">
        <f t="shared" si="33"/>
        <v>BY1Q  L140125-05</v>
      </c>
      <c r="F324" s="10" t="str">
        <f t="shared" si="34"/>
        <v>PCCN: CRGARM:-:PLISN: BY1Q :-:PCC: TIT :-: CAGE: 19397:-:PART NUMBER: L140125-05:-:NOMENCLATURE: WASHER,FLAT:-:PRICE: $0.14:-:UNIQUE MODS: NO:-:PROPRIETARILY MFG FOR OEM: NO:-: :-: :-: :-:NSN: 5310014727792 :-: NHA: MIL-001-841</v>
      </c>
      <c r="G324" s="8" t="str">
        <f>IF([1]All!$B325="","",[1]All!$B325)</f>
        <v xml:space="preserve">BY1Q </v>
      </c>
      <c r="H324" s="8"/>
      <c r="I324" s="8" t="str">
        <f>IF([1]All!$D325=0,"",[1]All!$D325)</f>
        <v>F</v>
      </c>
      <c r="J324" s="8" t="str">
        <f>IF([1]All!$E325=0,"",[1]All!$E325)</f>
        <v>19397</v>
      </c>
      <c r="K324" s="8" t="s">
        <v>249</v>
      </c>
      <c r="L324" s="11" t="str">
        <f>IF([1]All!$L325=0,"",[1]All!$L325)</f>
        <v>WASHER,FLAT</v>
      </c>
      <c r="M324" s="7" t="str">
        <f>IF([1]All!$AJ325=0,"",[1]All!$AJ325)</f>
        <v xml:space="preserve">BXNN </v>
      </c>
      <c r="N324" s="7" t="str">
        <f>IF([1]All!$R325=0,"",[1]All!$R325)</f>
        <v>5310</v>
      </c>
      <c r="O324" s="7" t="str">
        <f>IF([1]All!$S325=0,"",[1]All!$S325)</f>
        <v>014727792</v>
      </c>
      <c r="P324" s="7" t="str">
        <f>IF([1]All!$V325=0,"",[1]All!$V325)</f>
        <v>0000000014</v>
      </c>
      <c r="Q324" s="3" t="str">
        <f t="shared" si="35"/>
        <v>$0.14</v>
      </c>
      <c r="R324" s="8" t="str">
        <f>IF([1]All!$F325=0,"",[1]All!$F325)</f>
        <v>L140125-05</v>
      </c>
    </row>
    <row r="325" spans="1:18">
      <c r="A325" s="7"/>
      <c r="B325" s="3">
        <f t="shared" si="30"/>
        <v>70</v>
      </c>
      <c r="C325" s="3" t="str">
        <f t="shared" si="31"/>
        <v>F</v>
      </c>
      <c r="D325" s="9" t="str">
        <f t="shared" si="32"/>
        <v>MIL-001-592</v>
      </c>
      <c r="E325" s="3" t="str">
        <f t="shared" si="33"/>
        <v>BY7L  MIL-001-592</v>
      </c>
      <c r="F325" s="10" t="str">
        <f t="shared" si="34"/>
        <v>PCCN: CRGARM:-:PLISN: BY7L :-:PCC: TIT :-: CAGE: 0UJB5:-:PART NUMBER: MIL-001-592:-:NOMENCLATURE: BRACKET,ELECTRICAL :-:PRICE: $12.00:-:UNIQUE MODS: NO:-:PROPRIETARILY MFG FOR OEM: NO:-: :-: :-: :-:NSN: 5935015662961 :-: NHA: MIL-001-841</v>
      </c>
      <c r="G325" s="8" t="str">
        <f>IF([1]All!$B326="","",[1]All!$B326)</f>
        <v xml:space="preserve">BY7L </v>
      </c>
      <c r="H325" s="8"/>
      <c r="I325" s="8" t="str">
        <f>IF([1]All!$D326=0,"",[1]All!$D326)</f>
        <v>F</v>
      </c>
      <c r="J325" s="8" t="str">
        <f>IF([1]All!$E326=0,"",[1]All!$E326)</f>
        <v>0UJB5</v>
      </c>
      <c r="K325" s="8" t="s">
        <v>250</v>
      </c>
      <c r="L325" s="11" t="str">
        <f>IF([1]All!$L326=0,"",[1]All!$L326)</f>
        <v xml:space="preserve">BRACKET,ELECTRICAL </v>
      </c>
      <c r="M325" s="7" t="str">
        <f>IF([1]All!$AJ326=0,"",[1]All!$AJ326)</f>
        <v xml:space="preserve">BXNN </v>
      </c>
      <c r="N325" s="7" t="str">
        <f>IF([1]All!$R326=0,"",[1]All!$R326)</f>
        <v>5935</v>
      </c>
      <c r="O325" s="7" t="str">
        <f>IF([1]All!$S326=0,"",[1]All!$S326)</f>
        <v>015662961</v>
      </c>
      <c r="P325" s="7" t="str">
        <f>IF([1]All!$V326=0,"",[1]All!$V326)</f>
        <v>0000001200</v>
      </c>
      <c r="Q325" s="3" t="str">
        <f t="shared" si="35"/>
        <v>$12.00</v>
      </c>
      <c r="R325" s="8" t="str">
        <f>IF([1]All!$F326=0,"",[1]All!$F326)</f>
        <v>MIL-001-592</v>
      </c>
    </row>
    <row r="326" spans="1:18">
      <c r="A326" s="7"/>
      <c r="B326" s="3">
        <f t="shared" si="30"/>
        <v>70</v>
      </c>
      <c r="C326" s="3" t="str">
        <f t="shared" si="31"/>
        <v>F</v>
      </c>
      <c r="D326" s="9" t="str">
        <f t="shared" si="32"/>
        <v>91635A260</v>
      </c>
      <c r="E326" s="3" t="str">
        <f t="shared" si="33"/>
        <v>BZDG  91635A260</v>
      </c>
      <c r="F326" s="10" t="str">
        <f t="shared" si="34"/>
        <v>PCCN: CRGARM:-:PLISN: BZDG :-:PCC: TIT :-: CAGE: 39428:-:PART NUMBER: 91635A260:-:NOMENCLATURE: WASHER,FLAT:-:PRICE: $0.34:-:UNIQUE MODS: NO:-:PROPRIETARILY MFG FOR OEM: NO:-: :-: :-: :-:NSN: 5310015658031 :-: NHA: MIL-001-841</v>
      </c>
      <c r="G326" s="8" t="str">
        <f>IF([1]All!$B327="","",[1]All!$B327)</f>
        <v xml:space="preserve">BZDG </v>
      </c>
      <c r="H326" s="8"/>
      <c r="I326" s="8" t="str">
        <f>IF([1]All!$D327=0,"",[1]All!$D327)</f>
        <v>F</v>
      </c>
      <c r="J326" s="8" t="str">
        <f>IF([1]All!$E327=0,"",[1]All!$E327)</f>
        <v>39428</v>
      </c>
      <c r="K326" s="8" t="s">
        <v>251</v>
      </c>
      <c r="L326" s="11" t="str">
        <f>IF([1]All!$L327=0,"",[1]All!$L327)</f>
        <v>WASHER,FLAT</v>
      </c>
      <c r="M326" s="7" t="str">
        <f>IF([1]All!$AJ327=0,"",[1]All!$AJ327)</f>
        <v xml:space="preserve">BXNN </v>
      </c>
      <c r="N326" s="7" t="str">
        <f>IF([1]All!$R327=0,"",[1]All!$R327)</f>
        <v>5310</v>
      </c>
      <c r="O326" s="7" t="str">
        <f>IF([1]All!$S327=0,"",[1]All!$S327)</f>
        <v>015658031</v>
      </c>
      <c r="P326" s="7" t="str">
        <f>IF([1]All!$V327=0,"",[1]All!$V327)</f>
        <v>0000000034</v>
      </c>
      <c r="Q326" s="3" t="str">
        <f t="shared" si="35"/>
        <v>$0.34</v>
      </c>
      <c r="R326" s="8" t="str">
        <f>IF([1]All!$F327=0,"",[1]All!$F327)</f>
        <v>91635A260</v>
      </c>
    </row>
    <row r="327" spans="1:18">
      <c r="A327" s="7"/>
      <c r="B327" s="3">
        <f t="shared" si="30"/>
        <v>70</v>
      </c>
      <c r="C327" s="3" t="str">
        <f t="shared" si="31"/>
        <v>F</v>
      </c>
      <c r="D327" s="9" t="str">
        <f t="shared" si="32"/>
        <v>L140127-08</v>
      </c>
      <c r="E327" s="3" t="str">
        <f t="shared" si="33"/>
        <v>BZKC  L140127-08</v>
      </c>
      <c r="F327" s="10" t="str">
        <f t="shared" si="34"/>
        <v>PCCN: CRGARM:-:PLISN: BZKC :-:PCC: TIT :-: CAGE: 19397:-:PART NUMBER: L140127-08:-:NOMENCLATURE: WASHER,LOCK:-:PRICE: $0.06:-:UNIQUE MODS: NO:-:PROPRIETARILY MFG FOR OEM: NO:-: :-: :-: :-:NSN: 5310015499572 :-: NHA: MIL-001-841</v>
      </c>
      <c r="G327" s="8" t="str">
        <f>IF([1]All!$B328="","",[1]All!$B328)</f>
        <v xml:space="preserve">BZKC </v>
      </c>
      <c r="H327" s="8"/>
      <c r="I327" s="8" t="str">
        <f>IF([1]All!$D328=0,"",[1]All!$D328)</f>
        <v>F</v>
      </c>
      <c r="J327" s="8" t="str">
        <f>IF([1]All!$E328=0,"",[1]All!$E328)</f>
        <v>19397</v>
      </c>
      <c r="K327" s="8" t="s">
        <v>252</v>
      </c>
      <c r="L327" s="11" t="str">
        <f>IF([1]All!$L328=0,"",[1]All!$L328)</f>
        <v>WASHER,LOCK</v>
      </c>
      <c r="M327" s="7" t="str">
        <f>IF([1]All!$AJ328=0,"",[1]All!$AJ328)</f>
        <v xml:space="preserve">BXNN </v>
      </c>
      <c r="N327" s="7" t="str">
        <f>IF([1]All!$R328=0,"",[1]All!$R328)</f>
        <v>5310</v>
      </c>
      <c r="O327" s="7" t="str">
        <f>IF([1]All!$S328=0,"",[1]All!$S328)</f>
        <v>015499572</v>
      </c>
      <c r="P327" s="7" t="str">
        <f>IF([1]All!$V328=0,"",[1]All!$V328)</f>
        <v>0000000006</v>
      </c>
      <c r="Q327" s="3" t="str">
        <f t="shared" si="35"/>
        <v>$0.06</v>
      </c>
      <c r="R327" s="8" t="str">
        <f>IF([1]All!$F328=0,"",[1]All!$F328)</f>
        <v>L140127-08</v>
      </c>
    </row>
    <row r="328" spans="1:18">
      <c r="A328" s="7"/>
      <c r="B328" s="3">
        <f t="shared" si="30"/>
        <v>70</v>
      </c>
      <c r="C328" s="3" t="str">
        <f t="shared" si="31"/>
        <v>F</v>
      </c>
      <c r="D328" s="9" t="str">
        <f t="shared" si="32"/>
        <v>91120A180</v>
      </c>
      <c r="E328" s="3" t="str">
        <f t="shared" si="33"/>
        <v>BZQ8  91120A180</v>
      </c>
      <c r="F328" s="10" t="str">
        <f t="shared" si="34"/>
        <v>PCCN: CRGARM:-:PLISN: BZQ8 :-:PCC: TIT :-: CAGE: 0KVE6:-:PART NUMBER: 91120A180:-:NOMENCLATURE: WASHER,LOCK:-:PRICE: $0.22:-:UNIQUE MODS: NO:-:PROPRIETARILY MFG FOR OEM: NO:-: :-: :-: :-:NSN: 5310015697051 :-: NHA: MIL-001-841</v>
      </c>
      <c r="G328" s="8" t="str">
        <f>IF([1]All!$B329="","",[1]All!$B329)</f>
        <v xml:space="preserve">BZQ8 </v>
      </c>
      <c r="H328" s="8"/>
      <c r="I328" s="8" t="str">
        <f>IF([1]All!$D329=0,"",[1]All!$D329)</f>
        <v>F</v>
      </c>
      <c r="J328" s="8" t="str">
        <f>IF([1]All!$E329=0,"",[1]All!$E329)</f>
        <v>0KVE6</v>
      </c>
      <c r="K328" s="8" t="s">
        <v>253</v>
      </c>
      <c r="L328" s="11" t="str">
        <f>IF([1]All!$L329=0,"",[1]All!$L329)</f>
        <v>WASHER,LOCK</v>
      </c>
      <c r="M328" s="7" t="str">
        <f>IF([1]All!$AJ329=0,"",[1]All!$AJ329)</f>
        <v xml:space="preserve">BXNN </v>
      </c>
      <c r="N328" s="7" t="str">
        <f>IF([1]All!$R329=0,"",[1]All!$R329)</f>
        <v>5310</v>
      </c>
      <c r="O328" s="7" t="str">
        <f>IF([1]All!$S329=0,"",[1]All!$S329)</f>
        <v>015697051</v>
      </c>
      <c r="P328" s="7" t="str">
        <f>IF([1]All!$V329=0,"",[1]All!$V329)</f>
        <v>0000000022</v>
      </c>
      <c r="Q328" s="3" t="str">
        <f t="shared" si="35"/>
        <v>$0.22</v>
      </c>
      <c r="R328" s="8" t="str">
        <f>IF([1]All!$F329=0,"",[1]All!$F329)</f>
        <v>91120A180</v>
      </c>
    </row>
    <row r="329" spans="1:18">
      <c r="A329" s="7"/>
      <c r="B329" s="3">
        <f t="shared" si="30"/>
        <v>70</v>
      </c>
      <c r="C329" s="3" t="str">
        <f t="shared" si="31"/>
        <v>F</v>
      </c>
      <c r="D329" s="9" t="str">
        <f t="shared" si="32"/>
        <v>430-008</v>
      </c>
      <c r="E329" s="3" t="str">
        <f t="shared" si="33"/>
        <v>BZW4  430-008</v>
      </c>
      <c r="F329" s="10" t="str">
        <f t="shared" si="34"/>
        <v>PCCN: CRGARM:-:PLISN: BZW4 :-:PCC: TIT :-: CAGE: 72741:-:PART NUMBER: 430-008:-:NOMENCLATURE: NUT,PLAIN,HEXAGON:-:PRICE: $0.06:-:UNIQUE MODS: NO:-:PROPRIETARILY MFG FOR OEM: NO:-: :-: :-: :-:NSN: 5310011374829 :-: NHA: MIL-001-841</v>
      </c>
      <c r="G329" s="8" t="str">
        <f>IF([1]All!$B330="","",[1]All!$B330)</f>
        <v xml:space="preserve">BZW4 </v>
      </c>
      <c r="H329" s="8"/>
      <c r="I329" s="8" t="str">
        <f>IF([1]All!$D330=0,"",[1]All!$D330)</f>
        <v>F</v>
      </c>
      <c r="J329" s="8" t="str">
        <f>IF([1]All!$E330=0,"",[1]All!$E330)</f>
        <v>72741</v>
      </c>
      <c r="K329" s="8" t="s">
        <v>90</v>
      </c>
      <c r="L329" s="11" t="str">
        <f>IF([1]All!$L330=0,"",[1]All!$L330)</f>
        <v>NUT,PLAIN,HEXAGON</v>
      </c>
      <c r="M329" s="7" t="str">
        <f>IF([1]All!$AJ330=0,"",[1]All!$AJ330)</f>
        <v xml:space="preserve">BXNN </v>
      </c>
      <c r="N329" s="7" t="str">
        <f>IF([1]All!$R330=0,"",[1]All!$R330)</f>
        <v>5310</v>
      </c>
      <c r="O329" s="7" t="str">
        <f>IF([1]All!$S330=0,"",[1]All!$S330)</f>
        <v>011374829</v>
      </c>
      <c r="P329" s="7" t="str">
        <f>IF([1]All!$V330=0,"",[1]All!$V330)</f>
        <v>0000000006</v>
      </c>
      <c r="Q329" s="3" t="str">
        <f t="shared" si="35"/>
        <v>$0.06</v>
      </c>
      <c r="R329" s="8" t="str">
        <f>IF([1]All!$F330=0,"",[1]All!$F330)</f>
        <v>430-008</v>
      </c>
    </row>
    <row r="330" spans="1:18">
      <c r="A330" s="7"/>
      <c r="B330" s="3">
        <f t="shared" si="30"/>
        <v>70</v>
      </c>
      <c r="C330" s="3" t="str">
        <f t="shared" si="31"/>
        <v>F</v>
      </c>
      <c r="D330" s="9" t="str">
        <f t="shared" si="32"/>
        <v>MIL-001-513</v>
      </c>
      <c r="E330" s="3" t="str">
        <f t="shared" si="33"/>
        <v>BZ20  MIL-001-513</v>
      </c>
      <c r="F330" s="10" t="str">
        <f t="shared" si="34"/>
        <v>PCCN: CRGARM:-:PLISN: BZ20 :-:PCC: TIT :-: CAGE: 0UJB5:-:PART NUMBER: MIL-001-513:-:NOMENCLATURE: PUMP UNIT,HYDRAULIC:-:PRICE: $835.64:-:UNIQUE MODS: NO:-:PROPRIETARILY MFG FOR OEM: NO:-: :-: :-: :-:NSN: 4320015663963 :-: NHA: MIL-001-841</v>
      </c>
      <c r="G330" s="8" t="str">
        <f>IF([1]All!$B331="","",[1]All!$B331)</f>
        <v xml:space="preserve">BZ20 </v>
      </c>
      <c r="H330" s="8"/>
      <c r="I330" s="8" t="str">
        <f>IF([1]All!$D331=0,"",[1]All!$D331)</f>
        <v>F</v>
      </c>
      <c r="J330" s="8" t="str">
        <f>IF([1]All!$E331=0,"",[1]All!$E331)</f>
        <v>0UJB5</v>
      </c>
      <c r="K330" s="8" t="s">
        <v>254</v>
      </c>
      <c r="L330" s="11" t="str">
        <f>IF([1]All!$L331=0,"",[1]All!$L331)</f>
        <v>PUMP UNIT,HYDRAULIC</v>
      </c>
      <c r="M330" s="7" t="str">
        <f>IF([1]All!$AJ331=0,"",[1]All!$AJ331)</f>
        <v xml:space="preserve">BXNN </v>
      </c>
      <c r="N330" s="7" t="str">
        <f>IF([1]All!$R331=0,"",[1]All!$R331)</f>
        <v>4320</v>
      </c>
      <c r="O330" s="7" t="str">
        <f>IF([1]All!$S331=0,"",[1]All!$S331)</f>
        <v>015663963</v>
      </c>
      <c r="P330" s="7" t="str">
        <f>IF([1]All!$V331=0,"",[1]All!$V331)</f>
        <v>0000083564</v>
      </c>
      <c r="Q330" s="3" t="str">
        <f t="shared" si="35"/>
        <v>$835.64</v>
      </c>
      <c r="R330" s="8" t="str">
        <f>IF([1]All!$F331=0,"",[1]All!$F331)</f>
        <v>MIL-001-513</v>
      </c>
    </row>
    <row r="331" spans="1:18">
      <c r="A331" s="7"/>
      <c r="B331" s="3">
        <f t="shared" si="30"/>
        <v>71</v>
      </c>
      <c r="C331" s="3" t="str">
        <f t="shared" si="31"/>
        <v>G</v>
      </c>
      <c r="D331" s="9" t="str">
        <f t="shared" si="32"/>
        <v>MIL-001-710</v>
      </c>
      <c r="E331" s="3" t="str">
        <f t="shared" si="33"/>
        <v>BZ8W  MIL-001-710</v>
      </c>
      <c r="F331" s="10" t="str">
        <f t="shared" si="34"/>
        <v>PCCN: CRGARM:-:PLISN: BZ8W :-:PCC: TIT :-: CAGE: 0UJB5:-:PART NUMBER: MIL-001-710:-:NOMENCLATURE: TUBE,OIL FEED :-:PRICE: $21.00:-:UNIQUE MODS: NO:-:PROPRIETARILY MFG FOR OEM: NO:-: :-: :-: :-: :-: NHA: MIL-001-513 :-: NHA NSN: 4320015663963</v>
      </c>
      <c r="G331" s="8" t="str">
        <f>IF([1]All!$B332="","",[1]All!$B332)</f>
        <v xml:space="preserve">BZ8W </v>
      </c>
      <c r="H331" s="8"/>
      <c r="I331" s="8" t="str">
        <f>IF([1]All!$D332=0,"",[1]All!$D332)</f>
        <v>G</v>
      </c>
      <c r="J331" s="8" t="str">
        <f>IF([1]All!$E332=0,"",[1]All!$E332)</f>
        <v>0UJB5</v>
      </c>
      <c r="K331" s="8" t="s">
        <v>255</v>
      </c>
      <c r="L331" s="11" t="str">
        <f>IF([1]All!$L332=0,"",[1]All!$L332)</f>
        <v xml:space="preserve">TUBE,OIL FEED </v>
      </c>
      <c r="M331" s="7" t="str">
        <f>IF([1]All!$AJ332=0,"",[1]All!$AJ332)</f>
        <v xml:space="preserve">BZ20 </v>
      </c>
      <c r="N331" s="7" t="str">
        <f>IF([1]All!$R332=0,"",[1]All!$R332)</f>
        <v/>
      </c>
      <c r="O331" s="7" t="str">
        <f>IF([1]All!$S332=0,"",[1]All!$S332)</f>
        <v/>
      </c>
      <c r="P331" s="7" t="str">
        <f>IF([1]All!$V332=0,"",[1]All!$V332)</f>
        <v>0000002100</v>
      </c>
      <c r="Q331" s="3" t="str">
        <f t="shared" si="35"/>
        <v>$21.00</v>
      </c>
      <c r="R331" s="8" t="str">
        <f>IF([1]All!$F332=0,"",[1]All!$F332)</f>
        <v>MIL-001-710</v>
      </c>
    </row>
    <row r="332" spans="1:18">
      <c r="A332" s="7"/>
      <c r="B332" s="3">
        <f t="shared" si="30"/>
        <v>71</v>
      </c>
      <c r="C332" s="3" t="str">
        <f t="shared" si="31"/>
        <v>G</v>
      </c>
      <c r="D332" s="9" t="str">
        <f t="shared" si="32"/>
        <v>MIL-001-711</v>
      </c>
      <c r="E332" s="3" t="str">
        <f t="shared" si="33"/>
        <v>B0ES  MIL-001-711</v>
      </c>
      <c r="F332" s="10" t="str">
        <f t="shared" si="34"/>
        <v>PCCN: CRGARM:-:PLISN: B0ES :-:PCC: TIT :-: CAGE: 0UJB5:-:PART NUMBER: MIL-001-711:-:NOMENCLATURE: COVER, PUMP:-:PRICE: $57.85:-:UNIQUE MODS: NO:-:PROPRIETARILY MFG FOR OEM: NO:-: :-: :-: :-: :-: NHA: MIL-001-513 :-: NHA NSN: 4320015663963</v>
      </c>
      <c r="G332" s="8" t="str">
        <f>IF([1]All!$B333="","",[1]All!$B333)</f>
        <v xml:space="preserve">B0ES </v>
      </c>
      <c r="H332" s="8"/>
      <c r="I332" s="8" t="str">
        <f>IF([1]All!$D333=0,"",[1]All!$D333)</f>
        <v>G</v>
      </c>
      <c r="J332" s="8" t="str">
        <f>IF([1]All!$E333=0,"",[1]All!$E333)</f>
        <v>0UJB5</v>
      </c>
      <c r="K332" s="8" t="s">
        <v>256</v>
      </c>
      <c r="L332" s="11" t="str">
        <f>IF([1]All!$L333=0,"",[1]All!$L333)</f>
        <v>COVER, PUMP</v>
      </c>
      <c r="M332" s="7" t="str">
        <f>IF([1]All!$AJ333=0,"",[1]All!$AJ333)</f>
        <v xml:space="preserve">BZ20 </v>
      </c>
      <c r="N332" s="7" t="str">
        <f>IF([1]All!$R333=0,"",[1]All!$R333)</f>
        <v/>
      </c>
      <c r="O332" s="7" t="str">
        <f>IF([1]All!$S333=0,"",[1]All!$S333)</f>
        <v/>
      </c>
      <c r="P332" s="7" t="str">
        <f>IF([1]All!$V333=0,"",[1]All!$V333)</f>
        <v>0000005785</v>
      </c>
      <c r="Q332" s="3" t="str">
        <f t="shared" si="35"/>
        <v>$57.85</v>
      </c>
      <c r="R332" s="8" t="str">
        <f>IF([1]All!$F333=0,"",[1]All!$F333)</f>
        <v>MIL-001-711</v>
      </c>
    </row>
    <row r="333" spans="1:18">
      <c r="A333" s="7"/>
      <c r="B333" s="3">
        <f t="shared" si="30"/>
        <v>71</v>
      </c>
      <c r="C333" s="3" t="str">
        <f t="shared" si="31"/>
        <v>G</v>
      </c>
      <c r="D333" s="9" t="str">
        <f t="shared" si="32"/>
        <v>MIL-001-712</v>
      </c>
      <c r="E333" s="3" t="str">
        <f t="shared" si="33"/>
        <v>B0LN  MIL-001-712</v>
      </c>
      <c r="F333" s="10" t="str">
        <f t="shared" si="34"/>
        <v>PCCN: CRGARM:-:PLISN: B0LN :-:PCC: TIT :-: CAGE: 0UJB5:-:PART NUMBER: MIL-001-712:-:NOMENCLATURE: ADAPTER :-:PRICE: $23.00:-:UNIQUE MODS: NO:-:PROPRIETARILY MFG FOR OEM: NO:-: :-: :-: :-: :-: NHA: MIL-001-513 :-: NHA NSN: 4320015663963</v>
      </c>
      <c r="G333" s="8" t="str">
        <f>IF([1]All!$B334="","",[1]All!$B334)</f>
        <v xml:space="preserve">B0LN </v>
      </c>
      <c r="H333" s="8"/>
      <c r="I333" s="8" t="str">
        <f>IF([1]All!$D334=0,"",[1]All!$D334)</f>
        <v>G</v>
      </c>
      <c r="J333" s="8" t="str">
        <f>IF([1]All!$E334=0,"",[1]All!$E334)</f>
        <v>0UJB5</v>
      </c>
      <c r="K333" s="8" t="s">
        <v>257</v>
      </c>
      <c r="L333" s="11" t="str">
        <f>IF([1]All!$L334=0,"",[1]All!$L334)</f>
        <v xml:space="preserve">ADAPTER </v>
      </c>
      <c r="M333" s="7" t="str">
        <f>IF([1]All!$AJ334=0,"",[1]All!$AJ334)</f>
        <v xml:space="preserve">BZ20 </v>
      </c>
      <c r="N333" s="7" t="str">
        <f>IF([1]All!$R334=0,"",[1]All!$R334)</f>
        <v/>
      </c>
      <c r="O333" s="7" t="str">
        <f>IF([1]All!$S334=0,"",[1]All!$S334)</f>
        <v/>
      </c>
      <c r="P333" s="7" t="str">
        <f>IF([1]All!$V334=0,"",[1]All!$V334)</f>
        <v>0000002300</v>
      </c>
      <c r="Q333" s="3" t="str">
        <f t="shared" si="35"/>
        <v>$23.00</v>
      </c>
      <c r="R333" s="8" t="str">
        <f>IF([1]All!$F334=0,"",[1]All!$F334)</f>
        <v>MIL-001-712</v>
      </c>
    </row>
    <row r="334" spans="1:18">
      <c r="A334" s="7"/>
      <c r="B334" s="3">
        <f t="shared" si="30"/>
        <v>71</v>
      </c>
      <c r="C334" s="3" t="str">
        <f t="shared" si="31"/>
        <v>G</v>
      </c>
      <c r="D334" s="9" t="str">
        <f t="shared" si="32"/>
        <v>MIL-001-713</v>
      </c>
      <c r="E334" s="3" t="str">
        <f t="shared" si="33"/>
        <v>B0SJ  MIL-001-713</v>
      </c>
      <c r="F334" s="10" t="str">
        <f t="shared" si="34"/>
        <v>PCCN: CRGARM:-:PLISN: B0SJ :-:PCC: TIT :-: CAGE: 0UJB5:-:PART NUMBER: MIL-001-713:-:NOMENCLATURE: COUPLER:-:PRICE: $37.50:-:UNIQUE MODS: NO:-:PROPRIETARILY MFG FOR OEM: NO:-: :-: :-: :-: :-: NHA: MIL-001-513 :-: NHA NSN: 4320015663963</v>
      </c>
      <c r="G334" s="8" t="str">
        <f>IF([1]All!$B335="","",[1]All!$B335)</f>
        <v xml:space="preserve">B0SJ </v>
      </c>
      <c r="H334" s="8"/>
      <c r="I334" s="8" t="str">
        <f>IF([1]All!$D335=0,"",[1]All!$D335)</f>
        <v>G</v>
      </c>
      <c r="J334" s="8" t="str">
        <f>IF([1]All!$E335=0,"",[1]All!$E335)</f>
        <v>0UJB5</v>
      </c>
      <c r="K334" s="8" t="s">
        <v>258</v>
      </c>
      <c r="L334" s="11" t="str">
        <f>IF([1]All!$L335=0,"",[1]All!$L335)</f>
        <v>COUPLER</v>
      </c>
      <c r="M334" s="7" t="str">
        <f>IF([1]All!$AJ335=0,"",[1]All!$AJ335)</f>
        <v xml:space="preserve">BZ20 </v>
      </c>
      <c r="N334" s="7" t="str">
        <f>IF([1]All!$R335=0,"",[1]All!$R335)</f>
        <v/>
      </c>
      <c r="O334" s="7" t="str">
        <f>IF([1]All!$S335=0,"",[1]All!$S335)</f>
        <v/>
      </c>
      <c r="P334" s="7" t="str">
        <f>IF([1]All!$V335=0,"",[1]All!$V335)</f>
        <v>0000003750</v>
      </c>
      <c r="Q334" s="3" t="str">
        <f t="shared" si="35"/>
        <v>$37.50</v>
      </c>
      <c r="R334" s="8" t="str">
        <f>IF([1]All!$F335=0,"",[1]All!$F335)</f>
        <v>MIL-001-713</v>
      </c>
    </row>
    <row r="335" spans="1:18">
      <c r="A335" s="7"/>
      <c r="B335" s="3">
        <f t="shared" si="30"/>
        <v>71</v>
      </c>
      <c r="C335" s="3" t="str">
        <f t="shared" si="31"/>
        <v>G</v>
      </c>
      <c r="D335" s="9" t="str">
        <f t="shared" si="32"/>
        <v>MIL-001-697</v>
      </c>
      <c r="E335" s="3" t="str">
        <f t="shared" si="33"/>
        <v>B0YE  MIL-001-697</v>
      </c>
      <c r="F335" s="10" t="str">
        <f t="shared" si="34"/>
        <v>PCCN: CRGARM:-:PLISN: B0YE :-:PCC: TIT :-: CAGE: 0UJB5:-:PART NUMBER: MIL-001-697:-:NOMENCLATURE: O-RING SET:-:PRICE: $43.82:-:UNIQUE MODS: NO:-:PROPRIETARILY MFG FOR OEM: NO:-: :-: :-: :-:NSN: 5331015700877 :-: NHA: MIL-001-513 :-: NHA NSN: 4320015663963</v>
      </c>
      <c r="G335" s="8" t="str">
        <f>IF([1]All!$B336="","",[1]All!$B336)</f>
        <v xml:space="preserve">B0YE </v>
      </c>
      <c r="H335" s="8"/>
      <c r="I335" s="8" t="str">
        <f>IF([1]All!$D336=0,"",[1]All!$D336)</f>
        <v>G</v>
      </c>
      <c r="J335" s="8" t="str">
        <f>IF([1]All!$E336=0,"",[1]All!$E336)</f>
        <v>0UJB5</v>
      </c>
      <c r="K335" s="8" t="s">
        <v>259</v>
      </c>
      <c r="L335" s="11" t="str">
        <f>IF([1]All!$L336=0,"",[1]All!$L336)</f>
        <v>O-RING SET</v>
      </c>
      <c r="M335" s="7" t="str">
        <f>IF([1]All!$AJ336=0,"",[1]All!$AJ336)</f>
        <v xml:space="preserve">BZ20 </v>
      </c>
      <c r="N335" s="7" t="str">
        <f>IF([1]All!$R336=0,"",[1]All!$R336)</f>
        <v>5331</v>
      </c>
      <c r="O335" s="7" t="str">
        <f>IF([1]All!$S336=0,"",[1]All!$S336)</f>
        <v>015700877</v>
      </c>
      <c r="P335" s="7" t="str">
        <f>IF([1]All!$V336=0,"",[1]All!$V336)</f>
        <v>0000004382</v>
      </c>
      <c r="Q335" s="3" t="str">
        <f t="shared" si="35"/>
        <v>$43.82</v>
      </c>
      <c r="R335" s="8" t="str">
        <f>IF([1]All!$F336=0,"",[1]All!$F336)</f>
        <v>MIL-001-697</v>
      </c>
    </row>
    <row r="336" spans="1:18">
      <c r="A336" s="7"/>
      <c r="B336" s="3">
        <f t="shared" si="30"/>
        <v>70</v>
      </c>
      <c r="C336" s="3" t="str">
        <f t="shared" si="31"/>
        <v>F</v>
      </c>
      <c r="D336" s="9" t="str">
        <f t="shared" si="32"/>
        <v>MIL-001-514</v>
      </c>
      <c r="E336" s="3" t="str">
        <f t="shared" si="33"/>
        <v>B04A  MIL-001-514</v>
      </c>
      <c r="F336" s="10" t="str">
        <f t="shared" si="34"/>
        <v>PCCN: CRGARM:-:PLISN: B04A :-:PCC: TIT :-: CAGE: 0UJB5:-:PART NUMBER: MIL-001-514:-:NOMENCLATURE: TANK,OIL,HYDRAULIC :-:PRICE: $1139.35:-:UNIQUE MODS: NO:-:PROPRIETARILY MFG FOR OEM: NO:-: :-: :-: :-:NSN: 2590015658872 :-: NHA: MIL-001-841</v>
      </c>
      <c r="G336" s="8" t="str">
        <f>IF([1]All!$B337="","",[1]All!$B337)</f>
        <v xml:space="preserve">B04A </v>
      </c>
      <c r="H336" s="8"/>
      <c r="I336" s="8" t="str">
        <f>IF([1]All!$D337=0,"",[1]All!$D337)</f>
        <v>F</v>
      </c>
      <c r="J336" s="8" t="str">
        <f>IF([1]All!$E337=0,"",[1]All!$E337)</f>
        <v>0UJB5</v>
      </c>
      <c r="K336" s="8" t="s">
        <v>260</v>
      </c>
      <c r="L336" s="11" t="str">
        <f>IF([1]All!$L337=0,"",[1]All!$L337)</f>
        <v xml:space="preserve">TANK,OIL,HYDRAULIC </v>
      </c>
      <c r="M336" s="7" t="str">
        <f>IF([1]All!$AJ337=0,"",[1]All!$AJ337)</f>
        <v xml:space="preserve">BXNN </v>
      </c>
      <c r="N336" s="7" t="str">
        <f>IF([1]All!$R337=0,"",[1]All!$R337)</f>
        <v>2590</v>
      </c>
      <c r="O336" s="7" t="str">
        <f>IF([1]All!$S337=0,"",[1]All!$S337)</f>
        <v>015658872</v>
      </c>
      <c r="P336" s="7" t="str">
        <f>IF([1]All!$V337=0,"",[1]All!$V337)</f>
        <v>0000113935</v>
      </c>
      <c r="Q336" s="3" t="str">
        <f t="shared" si="35"/>
        <v>$1139.35</v>
      </c>
      <c r="R336" s="8" t="str">
        <f>IF([1]All!$F337=0,"",[1]All!$F337)</f>
        <v>MIL-001-514</v>
      </c>
    </row>
    <row r="337" spans="1:18">
      <c r="A337" s="7"/>
      <c r="B337" s="3">
        <f t="shared" si="30"/>
        <v>70</v>
      </c>
      <c r="C337" s="3" t="str">
        <f t="shared" si="31"/>
        <v>F</v>
      </c>
      <c r="D337" s="9" t="str">
        <f t="shared" si="32"/>
        <v>MIL-001-582</v>
      </c>
      <c r="E337" s="3" t="str">
        <f t="shared" si="33"/>
        <v>B096  MIL-001-582</v>
      </c>
      <c r="F337" s="10" t="str">
        <f t="shared" si="34"/>
        <v>PCCN: CRGARM:-:PLISN: B096 :-:PCC: TIT :-: CAGE: 0UJB5:-:PART NUMBER: MIL-001-582:-:NOMENCLATURE: SCREW,CAP,SOCKET HE:-:PRICE: $0.09:-:UNIQUE MODS: NO:-:PROPRIETARILY MFG FOR OEM: NO:-: :-: :-: :-:NSN: 5305015660650 :-: NHA: MIL-001-841</v>
      </c>
      <c r="G337" s="8" t="str">
        <f>IF([1]All!$B338="","",[1]All!$B338)</f>
        <v xml:space="preserve">B096 </v>
      </c>
      <c r="H337" s="8"/>
      <c r="I337" s="8" t="str">
        <f>IF([1]All!$D338=0,"",[1]All!$D338)</f>
        <v>F</v>
      </c>
      <c r="J337" s="8" t="str">
        <f>IF([1]All!$E338=0,"",[1]All!$E338)</f>
        <v>0UJB5</v>
      </c>
      <c r="K337" s="8" t="s">
        <v>261</v>
      </c>
      <c r="L337" s="11" t="str">
        <f>IF([1]All!$L338=0,"",[1]All!$L338)</f>
        <v>SCREW,CAP,SOCKET HE</v>
      </c>
      <c r="M337" s="7" t="str">
        <f>IF([1]All!$AJ338=0,"",[1]All!$AJ338)</f>
        <v xml:space="preserve">BXNN </v>
      </c>
      <c r="N337" s="7" t="str">
        <f>IF([1]All!$R338=0,"",[1]All!$R338)</f>
        <v>5305</v>
      </c>
      <c r="O337" s="7" t="str">
        <f>IF([1]All!$S338=0,"",[1]All!$S338)</f>
        <v>015660650</v>
      </c>
      <c r="P337" s="7" t="str">
        <f>IF([1]All!$V338=0,"",[1]All!$V338)</f>
        <v>0000000009</v>
      </c>
      <c r="Q337" s="3" t="str">
        <f t="shared" si="35"/>
        <v>$0.09</v>
      </c>
      <c r="R337" s="8" t="str">
        <f>IF([1]All!$F338=0,"",[1]All!$F338)</f>
        <v>MIL-001-582</v>
      </c>
    </row>
    <row r="338" spans="1:18">
      <c r="A338" s="7"/>
      <c r="B338" s="3">
        <f t="shared" si="30"/>
        <v>70</v>
      </c>
      <c r="C338" s="3" t="str">
        <f t="shared" si="31"/>
        <v>F</v>
      </c>
      <c r="D338" s="9" t="str">
        <f t="shared" si="32"/>
        <v>RP201</v>
      </c>
      <c r="E338" s="3" t="str">
        <f t="shared" si="33"/>
        <v>B1F2  RP201</v>
      </c>
      <c r="F338" s="10" t="str">
        <f t="shared" si="34"/>
        <v>PCCN: CRGARM:-:PLISN: B1F2 :-:PCC: TIT :-: CAGE: 0UJB5:-:PART NUMBER: RP201:-:NOMENCLATURE: WASHER,FLAT:-:PRICE: $4.23:-:UNIQUE MODS: NO:-:PROPRIETARILY MFG FOR OEM: NO:-: :-: :-: :-:NSN: 5310015469032 :-: NHA: MIL-001-841</v>
      </c>
      <c r="G338" s="8" t="str">
        <f>IF([1]All!$B339="","",[1]All!$B339)</f>
        <v xml:space="preserve">B1F2 </v>
      </c>
      <c r="H338" s="8"/>
      <c r="I338" s="8" t="str">
        <f>IF([1]All!$D339=0,"",[1]All!$D339)</f>
        <v>F</v>
      </c>
      <c r="J338" s="8" t="str">
        <f>IF([1]All!$E339=0,"",[1]All!$E339)</f>
        <v>0UJB5</v>
      </c>
      <c r="K338" s="8" t="s">
        <v>26</v>
      </c>
      <c r="L338" s="11" t="str">
        <f>IF([1]All!$L339=0,"",[1]All!$L339)</f>
        <v>WASHER,FLAT</v>
      </c>
      <c r="M338" s="7" t="str">
        <f>IF([1]All!$AJ339=0,"",[1]All!$AJ339)</f>
        <v xml:space="preserve">BXNN </v>
      </c>
      <c r="N338" s="7" t="str">
        <f>IF([1]All!$R339=0,"",[1]All!$R339)</f>
        <v>5310</v>
      </c>
      <c r="O338" s="7" t="str">
        <f>IF([1]All!$S339=0,"",[1]All!$S339)</f>
        <v>015469032</v>
      </c>
      <c r="P338" s="7" t="str">
        <f>IF([1]All!$V339=0,"",[1]All!$V339)</f>
        <v>0000000423</v>
      </c>
      <c r="Q338" s="3" t="str">
        <f t="shared" si="35"/>
        <v>$4.23</v>
      </c>
      <c r="R338" s="8" t="str">
        <f>IF([1]All!$F339=0,"",[1]All!$F339)</f>
        <v>RP201</v>
      </c>
    </row>
    <row r="339" spans="1:18">
      <c r="A339" s="7"/>
      <c r="B339" s="3">
        <f t="shared" si="30"/>
        <v>70</v>
      </c>
      <c r="C339" s="3" t="str">
        <f t="shared" si="31"/>
        <v>F</v>
      </c>
      <c r="D339" s="9" t="str">
        <f t="shared" si="32"/>
        <v>MIL-001-578</v>
      </c>
      <c r="E339" s="3" t="str">
        <f t="shared" si="33"/>
        <v>B1MY  MIL-001-578</v>
      </c>
      <c r="F339" s="10" t="str">
        <f t="shared" si="34"/>
        <v>PCCN: CRGARM:-:PLISN: B1MY :-:PCC: TIT :-: CAGE: 0UJB5:-:PART NUMBER: MIL-001-578:-:NOMENCLATURE: GAGE ROD-CAP,LIQUID:-:PRICE: $110.85:-:UNIQUE MODS: NO:-:PROPRIETARILY MFG FOR OEM: NO:-: :-: :-: :-:NSN: 6680015660335 :-: NHA: MIL-001-841</v>
      </c>
      <c r="G339" s="8" t="str">
        <f>IF([1]All!$B340="","",[1]All!$B340)</f>
        <v xml:space="preserve">B1MY </v>
      </c>
      <c r="H339" s="8"/>
      <c r="I339" s="8" t="str">
        <f>IF([1]All!$D340=0,"",[1]All!$D340)</f>
        <v>F</v>
      </c>
      <c r="J339" s="8" t="str">
        <f>IF([1]All!$E340=0,"",[1]All!$E340)</f>
        <v>0UJB5</v>
      </c>
      <c r="K339" s="8" t="s">
        <v>262</v>
      </c>
      <c r="L339" s="11" t="str">
        <f>IF([1]All!$L340=0,"",[1]All!$L340)</f>
        <v>GAGE ROD-CAP,LIQUID</v>
      </c>
      <c r="M339" s="7" t="str">
        <f>IF([1]All!$AJ340=0,"",[1]All!$AJ340)</f>
        <v xml:space="preserve">BXNN </v>
      </c>
      <c r="N339" s="7" t="str">
        <f>IF([1]All!$R340=0,"",[1]All!$R340)</f>
        <v>6680</v>
      </c>
      <c r="O339" s="7" t="str">
        <f>IF([1]All!$S340=0,"",[1]All!$S340)</f>
        <v>015660335</v>
      </c>
      <c r="P339" s="7" t="str">
        <f>IF([1]All!$V340=0,"",[1]All!$V340)</f>
        <v>0000011085</v>
      </c>
      <c r="Q339" s="3" t="str">
        <f t="shared" si="35"/>
        <v>$110.85</v>
      </c>
      <c r="R339" s="8" t="str">
        <f>IF([1]All!$F340=0,"",[1]All!$F340)</f>
        <v>MIL-001-578</v>
      </c>
    </row>
    <row r="340" spans="1:18">
      <c r="A340" s="7"/>
      <c r="B340" s="3">
        <f t="shared" si="30"/>
        <v>70</v>
      </c>
      <c r="C340" s="3" t="str">
        <f t="shared" si="31"/>
        <v>F</v>
      </c>
      <c r="D340" s="9" t="str">
        <f t="shared" si="32"/>
        <v>6 WFTX-WLN-S</v>
      </c>
      <c r="E340" s="3" t="str">
        <f t="shared" si="33"/>
        <v>B1TU  6 WFTX-WLN-S</v>
      </c>
      <c r="F340" s="10" t="str">
        <f t="shared" si="34"/>
        <v>PCCN: CRGARM:-:PLISN: B1TU :-:PCC: TIT :-: CAGE: 95826:-:PART NUMBER: 6 WFTX-WLN-S:-:NOMENCLATURE: ADAPTER,STRAIGHT,PI:-:PRICE: $15.66:-:UNIQUE MODS: NO:-:PROPRIETARILY MFG FOR OEM: NO:-: :-: :-: :-:NSN: 4730015704444 :-: NHA: MIL-001-841</v>
      </c>
      <c r="G340" s="8" t="str">
        <f>IF([1]All!$B341="","",[1]All!$B341)</f>
        <v xml:space="preserve">B1TU </v>
      </c>
      <c r="H340" s="8"/>
      <c r="I340" s="8" t="str">
        <f>IF([1]All!$D341=0,"",[1]All!$D341)</f>
        <v>F</v>
      </c>
      <c r="J340" s="8" t="str">
        <f>IF([1]All!$E341=0,"",[1]All!$E341)</f>
        <v>95826</v>
      </c>
      <c r="K340" s="8" t="s">
        <v>263</v>
      </c>
      <c r="L340" s="11" t="str">
        <f>IF([1]All!$L341=0,"",[1]All!$L341)</f>
        <v>ADAPTER,STRAIGHT,PI</v>
      </c>
      <c r="M340" s="7" t="str">
        <f>IF([1]All!$AJ341=0,"",[1]All!$AJ341)</f>
        <v xml:space="preserve">BXNN </v>
      </c>
      <c r="N340" s="7" t="str">
        <f>IF([1]All!$R341=0,"",[1]All!$R341)</f>
        <v>4730</v>
      </c>
      <c r="O340" s="7" t="str">
        <f>IF([1]All!$S341=0,"",[1]All!$S341)</f>
        <v>015704444</v>
      </c>
      <c r="P340" s="7" t="str">
        <f>IF([1]All!$V341=0,"",[1]All!$V341)</f>
        <v>0000001566</v>
      </c>
      <c r="Q340" s="3" t="str">
        <f t="shared" si="35"/>
        <v>$15.66</v>
      </c>
      <c r="R340" s="8" t="str">
        <f>IF([1]All!$F341=0,"",[1]All!$F341)</f>
        <v>6 WFTX-WLN-S</v>
      </c>
    </row>
    <row r="341" spans="1:18">
      <c r="A341" s="7"/>
      <c r="B341" s="3">
        <f t="shared" si="30"/>
        <v>70</v>
      </c>
      <c r="C341" s="3" t="str">
        <f t="shared" si="31"/>
        <v>F</v>
      </c>
      <c r="D341" s="9" t="str">
        <f t="shared" si="32"/>
        <v>TA968</v>
      </c>
      <c r="E341" s="3" t="str">
        <f t="shared" si="33"/>
        <v>B1ZQ  TA968</v>
      </c>
      <c r="F341" s="10" t="str">
        <f t="shared" si="34"/>
        <v>PCCN: CRGARM:-:PLISN: B1ZQ :-:PCC: TIT :-: CAGE: 0UJB5:-:PART NUMBER: TA968:-:NOMENCLATURE: COVER,PROTECTIVE,DU:-:PRICE: $9.39:-:UNIQUE MODS: NO:-:PROPRIETARILY MFG FOR OEM: NO:-: :-: :-: :-:NSN: 5340015699499 :-: NHA: MIL-001-841</v>
      </c>
      <c r="G341" s="8" t="str">
        <f>IF([1]All!$B342="","",[1]All!$B342)</f>
        <v xml:space="preserve">B1ZQ </v>
      </c>
      <c r="H341" s="8"/>
      <c r="I341" s="8" t="str">
        <f>IF([1]All!$D342=0,"",[1]All!$D342)</f>
        <v>F</v>
      </c>
      <c r="J341" s="8" t="str">
        <f>IF([1]All!$E342=0,"",[1]All!$E342)</f>
        <v>0UJB5</v>
      </c>
      <c r="K341" s="8" t="s">
        <v>264</v>
      </c>
      <c r="L341" s="11" t="str">
        <f>IF([1]All!$L342=0,"",[1]All!$L342)</f>
        <v>COVER,PROTECTIVE,DU</v>
      </c>
      <c r="M341" s="7" t="str">
        <f>IF([1]All!$AJ342=0,"",[1]All!$AJ342)</f>
        <v xml:space="preserve">BXNN </v>
      </c>
      <c r="N341" s="7" t="str">
        <f>IF([1]All!$R342=0,"",[1]All!$R342)</f>
        <v>5340</v>
      </c>
      <c r="O341" s="7" t="str">
        <f>IF([1]All!$S342=0,"",[1]All!$S342)</f>
        <v>015699499</v>
      </c>
      <c r="P341" s="7" t="str">
        <f>IF([1]All!$V342=0,"",[1]All!$V342)</f>
        <v>0000000939</v>
      </c>
      <c r="Q341" s="3" t="str">
        <f t="shared" si="35"/>
        <v>$9.39</v>
      </c>
      <c r="R341" s="8" t="str">
        <f>IF([1]All!$F342=0,"",[1]All!$F342)</f>
        <v>TA968</v>
      </c>
    </row>
    <row r="342" spans="1:18">
      <c r="A342" s="7"/>
      <c r="B342" s="3">
        <f t="shared" si="30"/>
        <v>70</v>
      </c>
      <c r="C342" s="3" t="str">
        <f t="shared" si="31"/>
        <v>F</v>
      </c>
      <c r="D342" s="9" t="str">
        <f t="shared" si="32"/>
        <v>MIL-001-1071</v>
      </c>
      <c r="E342" s="3" t="str">
        <f t="shared" si="33"/>
        <v>B11Q  MIL-001-1071</v>
      </c>
      <c r="F342" s="10" t="str">
        <f t="shared" si="34"/>
        <v>PCCN: CRGARM:-:PLISN: B11Q :-:PCC: TIT :-: CAGE: 0UJB5:-:PART NUMBER: MIL-001-1071:-:NOMENCLATURE: HOUSING:-:PRICE: $625.00:-:UNIQUE MODS: NO:-:PROPRIETARILY MFG FOR OEM: NO:-: :-: :-: :-: :-: NHA: MIL-001-841</v>
      </c>
      <c r="G342" s="8" t="str">
        <f>IF([1]All!$B343="","",[1]All!$B343)</f>
        <v xml:space="preserve">B11Q </v>
      </c>
      <c r="H342" s="8"/>
      <c r="I342" s="8" t="str">
        <f>IF([1]All!$D343=0,"",[1]All!$D343)</f>
        <v>F</v>
      </c>
      <c r="J342" s="8" t="str">
        <f>IF([1]All!$E343=0,"",[1]All!$E343)</f>
        <v>0UJB5</v>
      </c>
      <c r="K342" s="8" t="s">
        <v>425</v>
      </c>
      <c r="L342" s="11" t="str">
        <f>IF([1]All!$L343=0,"",[1]All!$L343)</f>
        <v>HOUSING</v>
      </c>
      <c r="M342" s="7" t="str">
        <f>IF([1]All!$AJ343=0,"",[1]All!$AJ343)</f>
        <v xml:space="preserve">BXNN </v>
      </c>
      <c r="N342" s="7" t="str">
        <f>IF([1]All!$R343=0,"",[1]All!$R343)</f>
        <v/>
      </c>
      <c r="O342" s="7" t="str">
        <f>IF([1]All!$S343=0,"",[1]All!$S343)</f>
        <v/>
      </c>
      <c r="P342" s="7" t="str">
        <f>IF([1]All!$V343=0,"",[1]All!$V343)</f>
        <v>0000062500</v>
      </c>
      <c r="Q342" s="3" t="str">
        <f t="shared" si="35"/>
        <v>$625.00</v>
      </c>
      <c r="R342" s="8" t="str">
        <f>IF([1]All!$F343=0,"",[1]All!$F343)</f>
        <v>MIL-001-1071</v>
      </c>
    </row>
    <row r="343" spans="1:18">
      <c r="A343" s="7"/>
      <c r="B343" s="3">
        <f t="shared" si="30"/>
        <v>70</v>
      </c>
      <c r="C343" s="3" t="str">
        <f t="shared" si="31"/>
        <v>F</v>
      </c>
      <c r="D343" s="9" t="str">
        <f t="shared" si="32"/>
        <v>MIL-001-698</v>
      </c>
      <c r="E343" s="3" t="str">
        <f t="shared" si="33"/>
        <v>B15L  MIL-001-698</v>
      </c>
      <c r="F343" s="10" t="str">
        <f t="shared" si="34"/>
        <v>PCCN: CRGARM:-:PLISN: B15L :-:PCC: TIT :-: CAGE: 0UJB5:-:PART NUMBER: MIL-001-698:-:NOMENCLATURE: O-RING:-:PRICE: $0.13:-:UNIQUE MODS: NO:-:PROPRIETARILY MFG FOR OEM: NO:-: :-: :-: :-:NSN: 5331016005900 :-: NHA: MIL-001-841</v>
      </c>
      <c r="G343" s="8" t="str">
        <f>IF([1]All!$B344="","",[1]All!$B344)</f>
        <v xml:space="preserve">B15L </v>
      </c>
      <c r="H343" s="8"/>
      <c r="I343" s="8" t="str">
        <f>IF([1]All!$D344=0,"",[1]All!$D344)</f>
        <v>F</v>
      </c>
      <c r="J343" s="8" t="str">
        <f>IF([1]All!$E344=0,"",[1]All!$E344)</f>
        <v>0UJB5</v>
      </c>
      <c r="K343" s="8" t="s">
        <v>265</v>
      </c>
      <c r="L343" s="11" t="str">
        <f>IF([1]All!$L344=0,"",[1]All!$L344)</f>
        <v>O-RING</v>
      </c>
      <c r="M343" s="7" t="str">
        <f>IF([1]All!$AJ344=0,"",[1]All!$AJ344)</f>
        <v xml:space="preserve">BXNN </v>
      </c>
      <c r="N343" s="7" t="str">
        <f>IF([1]All!$R344=0,"",[1]All!$R344)</f>
        <v>5331</v>
      </c>
      <c r="O343" s="7" t="str">
        <f>IF([1]All!$S344=0,"",[1]All!$S344)</f>
        <v>016005900</v>
      </c>
      <c r="P343" s="7" t="str">
        <f>IF([1]All!$V344=0,"",[1]All!$V344)</f>
        <v>0000000013</v>
      </c>
      <c r="Q343" s="3" t="str">
        <f t="shared" si="35"/>
        <v>$0.13</v>
      </c>
      <c r="R343" s="8" t="str">
        <f>IF([1]All!$F344=0,"",[1]All!$F344)</f>
        <v>MIL-001-698</v>
      </c>
    </row>
    <row r="344" spans="1:18">
      <c r="A344" s="7"/>
      <c r="B344" s="3">
        <f t="shared" si="30"/>
        <v>70</v>
      </c>
      <c r="C344" s="3" t="str">
        <f t="shared" si="31"/>
        <v>F</v>
      </c>
      <c r="D344" s="9" t="str">
        <f t="shared" si="32"/>
        <v>MIL-001-1072</v>
      </c>
      <c r="E344" s="3" t="str">
        <f t="shared" si="33"/>
        <v>B16L  MIL-001-1072</v>
      </c>
      <c r="F344" s="10" t="str">
        <f t="shared" si="34"/>
        <v>PCCN: CRGARM:-:PLISN: B16L :-:PCC: TIT :-: CAGE: 0UJB5:-:PART NUMBER: MIL-001-1072:-:NOMENCLATURE: BRACKET,MOUNTING:-:PRICE: $37.50:-:UNIQUE MODS: NO:-:PROPRIETARILY MFG FOR OEM: NO:-: :-: :-: :-: :-: NHA: MIL-001-841</v>
      </c>
      <c r="G344" s="8" t="str">
        <f>IF([1]All!$B345="","",[1]All!$B345)</f>
        <v xml:space="preserve">B16L </v>
      </c>
      <c r="H344" s="8"/>
      <c r="I344" s="8" t="str">
        <f>IF([1]All!$D345=0,"",[1]All!$D345)</f>
        <v>F</v>
      </c>
      <c r="J344" s="8" t="str">
        <f>IF([1]All!$E345=0,"",[1]All!$E345)</f>
        <v>0UJB5</v>
      </c>
      <c r="K344" s="8" t="s">
        <v>426</v>
      </c>
      <c r="L344" s="11" t="str">
        <f>IF([1]All!$L345=0,"",[1]All!$L345)</f>
        <v>BRACKET,MOUNTING</v>
      </c>
      <c r="M344" s="7" t="str">
        <f>IF([1]All!$AJ345=0,"",[1]All!$AJ345)</f>
        <v xml:space="preserve">BXNN </v>
      </c>
      <c r="N344" s="7" t="str">
        <f>IF([1]All!$R345=0,"",[1]All!$R345)</f>
        <v/>
      </c>
      <c r="O344" s="7" t="str">
        <f>IF([1]All!$S345=0,"",[1]All!$S345)</f>
        <v/>
      </c>
      <c r="P344" s="7" t="str">
        <f>IF([1]All!$V345=0,"",[1]All!$V345)</f>
        <v>0000003750</v>
      </c>
      <c r="Q344" s="3" t="str">
        <f t="shared" si="35"/>
        <v>$37.50</v>
      </c>
      <c r="R344" s="8" t="str">
        <f>IF([1]All!$F345=0,"",[1]All!$F345)</f>
        <v>MIL-001-1072</v>
      </c>
    </row>
    <row r="345" spans="1:18">
      <c r="A345" s="7"/>
      <c r="B345" s="3">
        <f t="shared" si="30"/>
        <v>70</v>
      </c>
      <c r="C345" s="3" t="str">
        <f t="shared" si="31"/>
        <v>F</v>
      </c>
      <c r="D345" s="9" t="str">
        <f t="shared" si="32"/>
        <v>MIL-001-699</v>
      </c>
      <c r="E345" s="3" t="str">
        <f t="shared" si="33"/>
        <v>B2BG  MIL-001-699</v>
      </c>
      <c r="F345" s="10" t="str">
        <f t="shared" si="34"/>
        <v>PCCN: CRGARM:-:PLISN: B2BG :-:PCC: TIT :-: CAGE: 0UJB5:-:PART NUMBER: MIL-001-699:-:NOMENCLATURE: PLUG,MACHINE THREAD:-:PRICE: $14.22:-:UNIQUE MODS: NO:-:PROPRIETARILY MFG FOR OEM: NO:-: :-: :-: :-:NSN: 5365015705873 :-: NHA: MIL-001-841</v>
      </c>
      <c r="G345" s="8" t="str">
        <f>IF([1]All!$B346="","",[1]All!$B346)</f>
        <v xml:space="preserve">B2BG </v>
      </c>
      <c r="H345" s="8"/>
      <c r="I345" s="8" t="str">
        <f>IF([1]All!$D346=0,"",[1]All!$D346)</f>
        <v>F</v>
      </c>
      <c r="J345" s="8" t="str">
        <f>IF([1]All!$E346=0,"",[1]All!$E346)</f>
        <v>0UJB5</v>
      </c>
      <c r="K345" s="8" t="s">
        <v>266</v>
      </c>
      <c r="L345" s="11" t="str">
        <f>IF([1]All!$L346=0,"",[1]All!$L346)</f>
        <v>PLUG,MACHINE THREAD</v>
      </c>
      <c r="M345" s="7" t="str">
        <f>IF([1]All!$AJ346=0,"",[1]All!$AJ346)</f>
        <v xml:space="preserve">BXNN </v>
      </c>
      <c r="N345" s="7" t="str">
        <f>IF([1]All!$R346=0,"",[1]All!$R346)</f>
        <v>5365</v>
      </c>
      <c r="O345" s="7" t="str">
        <f>IF([1]All!$S346=0,"",[1]All!$S346)</f>
        <v>015705873</v>
      </c>
      <c r="P345" s="7" t="str">
        <f>IF([1]All!$V346=0,"",[1]All!$V346)</f>
        <v>0000001422</v>
      </c>
      <c r="Q345" s="3" t="str">
        <f t="shared" si="35"/>
        <v>$14.22</v>
      </c>
      <c r="R345" s="8" t="str">
        <f>IF([1]All!$F346=0,"",[1]All!$F346)</f>
        <v>MIL-001-699</v>
      </c>
    </row>
    <row r="346" spans="1:18">
      <c r="A346" s="7"/>
      <c r="B346" s="3">
        <f t="shared" si="30"/>
        <v>70</v>
      </c>
      <c r="C346" s="3" t="str">
        <f t="shared" si="31"/>
        <v>F</v>
      </c>
      <c r="D346" s="9" t="str">
        <f t="shared" si="32"/>
        <v>0153975</v>
      </c>
      <c r="E346" s="3" t="str">
        <f t="shared" si="33"/>
        <v>B2CG  0153975</v>
      </c>
      <c r="F346" s="10" t="str">
        <f t="shared" si="34"/>
        <v>PCCN: CRGARM:-:PLISN: B2CG :-:PCC: TIT :-: CAGE: 0Y3H3:-:PART NUMBER: 0153975:-:NOMENCLATURE: SCREW,CAP,HEXAGON H:-:PRICE: $0.13:-:UNIQUE MODS: NO:-:PROPRIETARILY MFG FOR OEM: NO:-: :-: :-: :-:NSN: 5305015570547 :-: NHA: MIL-001-841</v>
      </c>
      <c r="G346" s="8" t="str">
        <f>IF([1]All!$B347="","",[1]All!$B347)</f>
        <v xml:space="preserve">B2CG </v>
      </c>
      <c r="H346" s="8"/>
      <c r="I346" s="8" t="str">
        <f>IF([1]All!$D347=0,"",[1]All!$D347)</f>
        <v>F</v>
      </c>
      <c r="J346" s="8" t="str">
        <f>IF([1]All!$E347=0,"",[1]All!$E347)</f>
        <v>0Y3H3</v>
      </c>
      <c r="K346" s="8" t="s">
        <v>73</v>
      </c>
      <c r="L346" s="11" t="str">
        <f>IF([1]All!$L347=0,"",[1]All!$L347)</f>
        <v>SCREW,CAP,HEXAGON H</v>
      </c>
      <c r="M346" s="7" t="str">
        <f>IF([1]All!$AJ347=0,"",[1]All!$AJ347)</f>
        <v xml:space="preserve">BXNN </v>
      </c>
      <c r="N346" s="7" t="str">
        <f>IF([1]All!$R347=0,"",[1]All!$R347)</f>
        <v>5305</v>
      </c>
      <c r="O346" s="7" t="str">
        <f>IF([1]All!$S347=0,"",[1]All!$S347)</f>
        <v>015570547</v>
      </c>
      <c r="P346" s="7" t="str">
        <f>IF([1]All!$V347=0,"",[1]All!$V347)</f>
        <v>0000000013</v>
      </c>
      <c r="Q346" s="3" t="str">
        <f t="shared" si="35"/>
        <v>$0.13</v>
      </c>
      <c r="R346" s="8" t="str">
        <f>IF([1]All!$F347=0,"",[1]All!$F347)</f>
        <v>0153975</v>
      </c>
    </row>
    <row r="347" spans="1:18">
      <c r="A347" s="7"/>
      <c r="B347" s="3">
        <f t="shared" si="30"/>
        <v>70</v>
      </c>
      <c r="C347" s="3" t="str">
        <f t="shared" si="31"/>
        <v>F</v>
      </c>
      <c r="D347" s="9" t="str">
        <f t="shared" si="32"/>
        <v>MIL-001-516</v>
      </c>
      <c r="E347" s="3" t="str">
        <f t="shared" si="33"/>
        <v>B2HC  MIL-001-516</v>
      </c>
      <c r="F347" s="10" t="str">
        <f t="shared" si="34"/>
        <v>PCCN: CRGARM:-:PLISN: B2HC :-:PCC: TIT :-: CAGE: 0UJB5:-:PART NUMBER: MIL-001-516:-:NOMENCLATURE: HOSE ASSEMBLY,NONME:-:PRICE: $53.22:-:UNIQUE MODS: NO:-:PROPRIETARILY MFG FOR OEM: NO:-: :-: :-: :-:NSN: 4720015658862 :-: NHA: MIL-001-841</v>
      </c>
      <c r="G347" s="8" t="str">
        <f>IF([1]All!$B348="","",[1]All!$B348)</f>
        <v xml:space="preserve">B2HC </v>
      </c>
      <c r="H347" s="8"/>
      <c r="I347" s="8" t="str">
        <f>IF([1]All!$D348=0,"",[1]All!$D348)</f>
        <v>F</v>
      </c>
      <c r="J347" s="8" t="str">
        <f>IF([1]All!$E348=0,"",[1]All!$E348)</f>
        <v>0UJB5</v>
      </c>
      <c r="K347" s="8" t="s">
        <v>267</v>
      </c>
      <c r="L347" s="11" t="str">
        <f>IF([1]All!$L348=0,"",[1]All!$L348)</f>
        <v>HOSE ASSEMBLY,NONME</v>
      </c>
      <c r="M347" s="7" t="str">
        <f>IF([1]All!$AJ348=0,"",[1]All!$AJ348)</f>
        <v xml:space="preserve">BXNN </v>
      </c>
      <c r="N347" s="7" t="str">
        <f>IF([1]All!$R348=0,"",[1]All!$R348)</f>
        <v>4720</v>
      </c>
      <c r="O347" s="7" t="str">
        <f>IF([1]All!$S348=0,"",[1]All!$S348)</f>
        <v>015658862</v>
      </c>
      <c r="P347" s="7" t="str">
        <f>IF([1]All!$V348=0,"",[1]All!$V348)</f>
        <v>0000005322</v>
      </c>
      <c r="Q347" s="3" t="str">
        <f t="shared" si="35"/>
        <v>$53.22</v>
      </c>
      <c r="R347" s="8" t="str">
        <f>IF([1]All!$F348=0,"",[1]All!$F348)</f>
        <v>MIL-001-516</v>
      </c>
    </row>
    <row r="348" spans="1:18">
      <c r="A348" s="7"/>
      <c r="B348" s="3">
        <f t="shared" si="30"/>
        <v>70</v>
      </c>
      <c r="C348" s="3" t="str">
        <f t="shared" si="31"/>
        <v>F</v>
      </c>
      <c r="D348" s="9" t="str">
        <f t="shared" si="32"/>
        <v>1140358</v>
      </c>
      <c r="E348" s="3" t="str">
        <f t="shared" si="33"/>
        <v>B2JC  1140358</v>
      </c>
      <c r="F348" s="10" t="str">
        <f t="shared" si="34"/>
        <v>PCCN: CRGARM:-:PLISN: B2JC :-:PCC: TIT :-: CAGE: 0Y3H3:-:PART NUMBER: 1140358:-:NOMENCLATURE: WASHER,FLAT:-:PRICE: $0.08:-:UNIQUE MODS: NO:-:PROPRIETARILY MFG FOR OEM: NO:-: :-: :-: :-:NSN: 5310015787473 :-: NHA: MIL-001-841</v>
      </c>
      <c r="G348" s="8" t="str">
        <f>IF([1]All!$B349="","",[1]All!$B349)</f>
        <v xml:space="preserve">B2JC </v>
      </c>
      <c r="H348" s="8"/>
      <c r="I348" s="8" t="str">
        <f>IF([1]All!$D349=0,"",[1]All!$D349)</f>
        <v>F</v>
      </c>
      <c r="J348" s="8" t="str">
        <f>IF([1]All!$E349=0,"",[1]All!$E349)</f>
        <v>0Y3H3</v>
      </c>
      <c r="K348" s="8" t="s">
        <v>373</v>
      </c>
      <c r="L348" s="11" t="str">
        <f>IF([1]All!$L349=0,"",[1]All!$L349)</f>
        <v>WASHER,FLAT</v>
      </c>
      <c r="M348" s="7" t="str">
        <f>IF([1]All!$AJ349=0,"",[1]All!$AJ349)</f>
        <v xml:space="preserve">BXNN </v>
      </c>
      <c r="N348" s="7" t="str">
        <f>IF([1]All!$R349=0,"",[1]All!$R349)</f>
        <v>5310</v>
      </c>
      <c r="O348" s="7" t="str">
        <f>IF([1]All!$S349=0,"",[1]All!$S349)</f>
        <v>015787473</v>
      </c>
      <c r="P348" s="7" t="str">
        <f>IF([1]All!$V349=0,"",[1]All!$V349)</f>
        <v>0000000008</v>
      </c>
      <c r="Q348" s="3" t="str">
        <f t="shared" si="35"/>
        <v>$0.08</v>
      </c>
      <c r="R348" s="8" t="str">
        <f>IF([1]All!$F349=0,"",[1]All!$F349)</f>
        <v>1140358</v>
      </c>
    </row>
    <row r="349" spans="1:18">
      <c r="A349" s="7"/>
      <c r="B349" s="3">
        <f t="shared" si="30"/>
        <v>69</v>
      </c>
      <c r="C349" s="3" t="str">
        <f t="shared" si="31"/>
        <v>E</v>
      </c>
      <c r="D349" s="9" t="str">
        <f t="shared" si="32"/>
        <v>185150F</v>
      </c>
      <c r="E349" s="3" t="str">
        <f t="shared" si="33"/>
        <v>B2N8  185150F</v>
      </c>
      <c r="F349" s="10" t="str">
        <f t="shared" si="34"/>
        <v>PCCN: CRGARM:-:PLISN: B2N8 :-:PCC: TIT :-: CAGE: 71400:-:PART NUMBER: 185150F:-:NOMENCLATURE: CIRCUIT BREAKER:-:PRICE: $49.00:-:UNIQUE MODS: NO:-:PROPRIETARILY MFG FOR OEM: NO:-: :-: :-: :-: :-: NHA: MIL-001-1190</v>
      </c>
      <c r="G349" s="8" t="str">
        <f>IF([1]All!$B350="","",[1]All!$B350)</f>
        <v xml:space="preserve">B2N8 </v>
      </c>
      <c r="H349" s="8"/>
      <c r="I349" s="8" t="str">
        <f>IF([1]All!$D350=0,"",[1]All!$D350)</f>
        <v>E</v>
      </c>
      <c r="J349" s="8" t="str">
        <f>IF([1]All!$E350=0,"",[1]All!$E350)</f>
        <v>71400</v>
      </c>
      <c r="K349" s="8" t="s">
        <v>427</v>
      </c>
      <c r="L349" s="11" t="str">
        <f>IF([1]All!$L350=0,"",[1]All!$L350)</f>
        <v>CIRCUIT BREAKER</v>
      </c>
      <c r="M349" s="7" t="str">
        <f>IF([1]All!$AJ350=0,"",[1]All!$AJ350)</f>
        <v xml:space="preserve">BXGS </v>
      </c>
      <c r="N349" s="7" t="str">
        <f>IF([1]All!$R350=0,"",[1]All!$R350)</f>
        <v/>
      </c>
      <c r="O349" s="7" t="str">
        <f>IF([1]All!$S350=0,"",[1]All!$S350)</f>
        <v/>
      </c>
      <c r="P349" s="7" t="str">
        <f>IF([1]All!$V350=0,"",[1]All!$V350)</f>
        <v>0000004900</v>
      </c>
      <c r="Q349" s="3" t="str">
        <f t="shared" si="35"/>
        <v>$49.00</v>
      </c>
      <c r="R349" s="8" t="str">
        <f>IF([1]All!$F350=0,"",[1]All!$F350)</f>
        <v>185150F</v>
      </c>
    </row>
    <row r="350" spans="1:18">
      <c r="A350" s="7"/>
      <c r="B350" s="3">
        <f t="shared" si="30"/>
        <v>69</v>
      </c>
      <c r="C350" s="3" t="str">
        <f t="shared" si="31"/>
        <v>E</v>
      </c>
      <c r="D350" s="9" t="str">
        <f t="shared" si="32"/>
        <v>MIL-001-250</v>
      </c>
      <c r="E350" s="3" t="str">
        <f t="shared" si="33"/>
        <v>B2U4  MIL-001-250</v>
      </c>
      <c r="F350" s="10" t="str">
        <f t="shared" si="34"/>
        <v>PCCN: CRGARM:-:PLISN: B2U4 :-:PCC: TIT :-: CAGE: 0UJB5:-:PART NUMBER: MIL-001-250:-:NOMENCLATURE: BOLT,MACHINE:-:PRICE: $0.22:-:UNIQUE MODS: NO:-:PROPRIETARILY MFG FOR OEM: NO:-: :-: :-: :-:NSN: 5306015742072 :-: NHA: MIL-001-1190</v>
      </c>
      <c r="G350" s="8" t="str">
        <f>IF([1]All!$B351="","",[1]All!$B351)</f>
        <v xml:space="preserve">B2U4 </v>
      </c>
      <c r="H350" s="8"/>
      <c r="I350" s="8" t="str">
        <f>IF([1]All!$D351=0,"",[1]All!$D351)</f>
        <v>E</v>
      </c>
      <c r="J350" s="8" t="str">
        <f>IF([1]All!$E351=0,"",[1]All!$E351)</f>
        <v>0UJB5</v>
      </c>
      <c r="K350" s="8" t="s">
        <v>268</v>
      </c>
      <c r="L350" s="11" t="str">
        <f>IF([1]All!$L351=0,"",[1]All!$L351)</f>
        <v>BOLT,MACHINE</v>
      </c>
      <c r="M350" s="7" t="str">
        <f>IF([1]All!$AJ351=0,"",[1]All!$AJ351)</f>
        <v xml:space="preserve">BXGS </v>
      </c>
      <c r="N350" s="7" t="str">
        <f>IF([1]All!$R351=0,"",[1]All!$R351)</f>
        <v>5306</v>
      </c>
      <c r="O350" s="7" t="str">
        <f>IF([1]All!$S351=0,"",[1]All!$S351)</f>
        <v>015742072</v>
      </c>
      <c r="P350" s="7" t="str">
        <f>IF([1]All!$V351=0,"",[1]All!$V351)</f>
        <v>0000000022</v>
      </c>
      <c r="Q350" s="3" t="str">
        <f t="shared" si="35"/>
        <v>$0.22</v>
      </c>
      <c r="R350" s="8" t="str">
        <f>IF([1]All!$F351=0,"",[1]All!$F351)</f>
        <v>MIL-001-250</v>
      </c>
    </row>
    <row r="351" spans="1:18">
      <c r="A351" s="7"/>
      <c r="B351" s="3">
        <f t="shared" si="30"/>
        <v>69</v>
      </c>
      <c r="C351" s="3" t="str">
        <f t="shared" si="31"/>
        <v>E</v>
      </c>
      <c r="D351" s="9" t="str">
        <f t="shared" si="32"/>
        <v>MIL-001-259</v>
      </c>
      <c r="E351" s="3" t="str">
        <f t="shared" si="33"/>
        <v>B200  MIL-001-259</v>
      </c>
      <c r="F351" s="10" t="str">
        <f t="shared" si="34"/>
        <v>PCCN: CRGARM:-:PLISN: B200 :-:PCC: TIT :-: CAGE: 0UJB5:-:PART NUMBER: MIL-001-259:-:NOMENCLATURE: WASHER,FLAT:-:PRICE: $0.23:-:UNIQUE MODS: NO:-:PROPRIETARILY MFG FOR OEM: NO:-: :-: :-: :-:NSN: 5310015738789 :-: NHA: MIL-001-1190</v>
      </c>
      <c r="G351" s="8" t="str">
        <f>IF([1]All!$B352="","",[1]All!$B352)</f>
        <v xml:space="preserve">B200 </v>
      </c>
      <c r="H351" s="8"/>
      <c r="I351" s="8" t="str">
        <f>IF([1]All!$D352=0,"",[1]All!$D352)</f>
        <v>E</v>
      </c>
      <c r="J351" s="8" t="str">
        <f>IF([1]All!$E352=0,"",[1]All!$E352)</f>
        <v>0UJB5</v>
      </c>
      <c r="K351" s="8" t="s">
        <v>228</v>
      </c>
      <c r="L351" s="11" t="str">
        <f>IF([1]All!$L352=0,"",[1]All!$L352)</f>
        <v>WASHER,FLAT</v>
      </c>
      <c r="M351" s="7" t="str">
        <f>IF([1]All!$AJ352=0,"",[1]All!$AJ352)</f>
        <v xml:space="preserve">BXGS </v>
      </c>
      <c r="N351" s="7" t="str">
        <f>IF([1]All!$R352=0,"",[1]All!$R352)</f>
        <v>5310</v>
      </c>
      <c r="O351" s="7" t="str">
        <f>IF([1]All!$S352=0,"",[1]All!$S352)</f>
        <v>015738789</v>
      </c>
      <c r="P351" s="7" t="str">
        <f>IF([1]All!$V352=0,"",[1]All!$V352)</f>
        <v>0000000023</v>
      </c>
      <c r="Q351" s="3" t="str">
        <f t="shared" si="35"/>
        <v>$0.23</v>
      </c>
      <c r="R351" s="8" t="str">
        <f>IF([1]All!$F352=0,"",[1]All!$F352)</f>
        <v>MIL-001-259</v>
      </c>
    </row>
    <row r="352" spans="1:18">
      <c r="A352" s="7"/>
      <c r="B352" s="3">
        <f t="shared" si="30"/>
        <v>69</v>
      </c>
      <c r="C352" s="3" t="str">
        <f t="shared" si="31"/>
        <v>E</v>
      </c>
      <c r="D352" s="9" t="str">
        <f t="shared" si="32"/>
        <v>37573</v>
      </c>
      <c r="E352" s="3" t="str">
        <f t="shared" si="33"/>
        <v>B26W  37573</v>
      </c>
      <c r="F352" s="10" t="str">
        <f t="shared" si="34"/>
        <v>PCCN: CRGARM:-:PLISN: B26W :-:PCC: TIT :-: CAGE: 0Y3H3:-:PART NUMBER: 37573:-:NOMENCLATURE: NUT,SELF-LOCKING,HE:-:PRICE: $0.14:-:UNIQUE MODS: NO:-:PROPRIETARILY MFG FOR OEM: NO:-: :-: :-: :-:NSN: 5310016005350 :-: NHA: MIL-001-1190</v>
      </c>
      <c r="G352" s="8" t="str">
        <f>IF([1]All!$B353="","",[1]All!$B353)</f>
        <v xml:space="preserve">B26W </v>
      </c>
      <c r="H352" s="8"/>
      <c r="I352" s="8" t="str">
        <f>IF([1]All!$D353=0,"",[1]All!$D353)</f>
        <v>E</v>
      </c>
      <c r="J352" s="8" t="str">
        <f>IF([1]All!$E353=0,"",[1]All!$E353)</f>
        <v>0Y3H3</v>
      </c>
      <c r="K352" s="8" t="s">
        <v>372</v>
      </c>
      <c r="L352" s="11" t="str">
        <f>IF([1]All!$L353=0,"",[1]All!$L353)</f>
        <v>NUT,SELF-LOCKING,HE</v>
      </c>
      <c r="M352" s="7" t="str">
        <f>IF([1]All!$AJ353=0,"",[1]All!$AJ353)</f>
        <v xml:space="preserve">BXGS </v>
      </c>
      <c r="N352" s="7" t="str">
        <f>IF([1]All!$R353=0,"",[1]All!$R353)</f>
        <v>5310</v>
      </c>
      <c r="O352" s="7" t="str">
        <f>IF([1]All!$S353=0,"",[1]All!$S353)</f>
        <v>016005350</v>
      </c>
      <c r="P352" s="7" t="str">
        <f>IF([1]All!$V353=0,"",[1]All!$V353)</f>
        <v>0000000014</v>
      </c>
      <c r="Q352" s="3" t="str">
        <f t="shared" si="35"/>
        <v>$0.14</v>
      </c>
      <c r="R352" s="8" t="str">
        <f>IF([1]All!$F353=0,"",[1]All!$F353)</f>
        <v>37573</v>
      </c>
    </row>
    <row r="353" spans="1:18">
      <c r="A353" s="7"/>
      <c r="B353" s="3">
        <f t="shared" si="30"/>
        <v>69</v>
      </c>
      <c r="C353" s="3" t="str">
        <f t="shared" si="31"/>
        <v>E</v>
      </c>
      <c r="D353" s="9" t="str">
        <f t="shared" si="32"/>
        <v>MIL-001-587</v>
      </c>
      <c r="E353" s="3" t="str">
        <f t="shared" si="33"/>
        <v>B3CS  MIL-001-587</v>
      </c>
      <c r="F353" s="10" t="str">
        <f t="shared" si="34"/>
        <v>PCCN: CRGARM:-:PLISN: B3CS :-:PCC: TIT :-: CAGE: 0UJB5:-:PART NUMBER: MIL-001-587:-:NOMENCLATURE: LEAD,STORAGE BATTER:-:PRICE: $16.57:-:UNIQUE MODS: NO:-:PROPRIETARILY MFG FOR OEM: NO:-: :-: :-: :-:NSN: 6150015659363 :-: NHA: MIL-001-1190</v>
      </c>
      <c r="G353" s="8" t="str">
        <f>IF([1]All!$B354="","",[1]All!$B354)</f>
        <v xml:space="preserve">B3CS </v>
      </c>
      <c r="H353" s="8"/>
      <c r="I353" s="8" t="str">
        <f>IF([1]All!$D354=0,"",[1]All!$D354)</f>
        <v>E</v>
      </c>
      <c r="J353" s="8" t="str">
        <f>IF([1]All!$E354=0,"",[1]All!$E354)</f>
        <v>0UJB5</v>
      </c>
      <c r="K353" s="8" t="s">
        <v>269</v>
      </c>
      <c r="L353" s="11" t="str">
        <f>IF([1]All!$L354=0,"",[1]All!$L354)</f>
        <v>LEAD,STORAGE BATTER</v>
      </c>
      <c r="M353" s="7" t="str">
        <f>IF([1]All!$AJ354=0,"",[1]All!$AJ354)</f>
        <v xml:space="preserve">BXGS </v>
      </c>
      <c r="N353" s="7" t="str">
        <f>IF([1]All!$R354=0,"",[1]All!$R354)</f>
        <v>6150</v>
      </c>
      <c r="O353" s="7" t="str">
        <f>IF([1]All!$S354=0,"",[1]All!$S354)</f>
        <v>015659363</v>
      </c>
      <c r="P353" s="7" t="str">
        <f>IF([1]All!$V354=0,"",[1]All!$V354)</f>
        <v>0000001657</v>
      </c>
      <c r="Q353" s="3" t="str">
        <f t="shared" si="35"/>
        <v>$16.57</v>
      </c>
      <c r="R353" s="8" t="str">
        <f>IF([1]All!$F354=0,"",[1]All!$F354)</f>
        <v>MIL-001-587</v>
      </c>
    </row>
    <row r="354" spans="1:18">
      <c r="A354" s="7"/>
      <c r="B354" s="3">
        <f t="shared" si="30"/>
        <v>69</v>
      </c>
      <c r="C354" s="3" t="str">
        <f t="shared" si="31"/>
        <v>E</v>
      </c>
      <c r="D354" s="9" t="str">
        <f t="shared" si="32"/>
        <v>MIL-001-251</v>
      </c>
      <c r="E354" s="3" t="str">
        <f t="shared" si="33"/>
        <v>B3JN  MIL-001-251</v>
      </c>
      <c r="F354" s="10" t="str">
        <f t="shared" si="34"/>
        <v>PCCN: CRGARM:-:PLISN: B3JN :-:PCC: TIT :-: CAGE: 0UJB5:-:PART NUMBER: MIL-001-251:-:NOMENCLATURE: CABLE ASSEMBLY,SPEC:-:PRICE: $24.30:-:UNIQUE MODS: NO:-:PROPRIETARILY MFG FOR OEM: NO:-: :-: :-: :-:NSN: 6150015661667 :-: NHA: MIL-001-1190</v>
      </c>
      <c r="G354" s="8" t="str">
        <f>IF([1]All!$B355="","",[1]All!$B355)</f>
        <v xml:space="preserve">B3JN </v>
      </c>
      <c r="H354" s="8"/>
      <c r="I354" s="8" t="str">
        <f>IF([1]All!$D355=0,"",[1]All!$D355)</f>
        <v>E</v>
      </c>
      <c r="J354" s="8" t="str">
        <f>IF([1]All!$E355=0,"",[1]All!$E355)</f>
        <v>0UJB5</v>
      </c>
      <c r="K354" s="8" t="s">
        <v>270</v>
      </c>
      <c r="L354" s="11" t="str">
        <f>IF([1]All!$L355=0,"",[1]All!$L355)</f>
        <v>CABLE ASSEMBLY,SPEC</v>
      </c>
      <c r="M354" s="7" t="str">
        <f>IF([1]All!$AJ355=0,"",[1]All!$AJ355)</f>
        <v xml:space="preserve">BXGS </v>
      </c>
      <c r="N354" s="7" t="str">
        <f>IF([1]All!$R355=0,"",[1]All!$R355)</f>
        <v>6150</v>
      </c>
      <c r="O354" s="7" t="str">
        <f>IF([1]All!$S355=0,"",[1]All!$S355)</f>
        <v>015661667</v>
      </c>
      <c r="P354" s="7" t="str">
        <f>IF([1]All!$V355=0,"",[1]All!$V355)</f>
        <v>0000002430</v>
      </c>
      <c r="Q354" s="3" t="str">
        <f t="shared" si="35"/>
        <v>$24.30</v>
      </c>
      <c r="R354" s="8" t="str">
        <f>IF([1]All!$F355=0,"",[1]All!$F355)</f>
        <v>MIL-001-251</v>
      </c>
    </row>
    <row r="355" spans="1:18">
      <c r="A355" s="7"/>
      <c r="B355" s="3">
        <f t="shared" si="30"/>
        <v>69</v>
      </c>
      <c r="C355" s="3" t="str">
        <f t="shared" si="31"/>
        <v>E</v>
      </c>
      <c r="D355" s="9" t="str">
        <f t="shared" si="32"/>
        <v>MIL-001-1188</v>
      </c>
      <c r="E355" s="3" t="str">
        <f t="shared" si="33"/>
        <v>B3QJ  MIL-001-1188</v>
      </c>
      <c r="F355" s="10" t="str">
        <f t="shared" si="34"/>
        <v>PCCN: CRGARM:-:PLISN: B3QJ :-:PCC: TIT :-: CAGE: 0UJB5:-:PART NUMBER: MIL-001-1188:-:NOMENCLATURE: RELAY,ELECTROMAGNET:-:PRICE: $952.30:-:UNIQUE MODS: NO:-:PROPRIETARILY MFG FOR OEM: NO:-: :-: :-: :-:NSN: 5945016005345 :-: NHA: MIL-001-1190</v>
      </c>
      <c r="G355" s="8" t="str">
        <f>IF([1]All!$B356="","",[1]All!$B356)</f>
        <v xml:space="preserve">B3QJ </v>
      </c>
      <c r="H355" s="8"/>
      <c r="I355" s="8" t="str">
        <f>IF([1]All!$D356=0,"",[1]All!$D356)</f>
        <v>E</v>
      </c>
      <c r="J355" s="8" t="str">
        <f>IF([1]All!$E356=0,"",[1]All!$E356)</f>
        <v>0UJB5</v>
      </c>
      <c r="K355" s="8" t="s">
        <v>271</v>
      </c>
      <c r="L355" s="11" t="str">
        <f>IF([1]All!$L356=0,"",[1]All!$L356)</f>
        <v>RELAY,ELECTROMAGNET</v>
      </c>
      <c r="M355" s="7" t="str">
        <f>IF([1]All!$AJ356=0,"",[1]All!$AJ356)</f>
        <v xml:space="preserve">BXGS </v>
      </c>
      <c r="N355" s="7" t="str">
        <f>IF([1]All!$R356=0,"",[1]All!$R356)</f>
        <v>5945</v>
      </c>
      <c r="O355" s="7" t="str">
        <f>IF([1]All!$S356=0,"",[1]All!$S356)</f>
        <v>016005345</v>
      </c>
      <c r="P355" s="7" t="str">
        <f>IF([1]All!$V356=0,"",[1]All!$V356)</f>
        <v>0000095230</v>
      </c>
      <c r="Q355" s="3" t="str">
        <f t="shared" si="35"/>
        <v>$952.30</v>
      </c>
      <c r="R355" s="8" t="str">
        <f>IF([1]All!$F356=0,"",[1]All!$F356)</f>
        <v>MIL-001-1188</v>
      </c>
    </row>
    <row r="356" spans="1:18">
      <c r="A356" s="7"/>
      <c r="B356" s="3">
        <f t="shared" si="30"/>
        <v>70</v>
      </c>
      <c r="C356" s="3" t="str">
        <f t="shared" si="31"/>
        <v>F</v>
      </c>
      <c r="D356" s="9" t="str">
        <f t="shared" si="32"/>
        <v>MIL-001-355</v>
      </c>
      <c r="E356" s="3" t="str">
        <f t="shared" si="33"/>
        <v>B3WE  MIL-001-355</v>
      </c>
      <c r="F356" s="10" t="str">
        <f t="shared" si="34"/>
        <v>PCCN: CRGARM:-:PLISN: B3WE :-:PCC: TIT :-: CAGE: 0UJB5:-:PART NUMBER: MIL-001-355:-:NOMENCLATURE: RELAY:-:PRICE: $1609.08:-:UNIQUE MODS: NO:-:PROPRIETARILY MFG FOR OEM: NO:-: :-: :-: :-: :-: NHA: MIL-001-1188 :-: NHA NSN: 5945016005345</v>
      </c>
      <c r="G356" s="8" t="str">
        <f>IF([1]All!$B357="","",[1]All!$B357)</f>
        <v xml:space="preserve">B3WE </v>
      </c>
      <c r="H356" s="8"/>
      <c r="I356" s="8" t="str">
        <f>IF([1]All!$D357=0,"",[1]All!$D357)</f>
        <v>F</v>
      </c>
      <c r="J356" s="8" t="str">
        <f>IF([1]All!$E357=0,"",[1]All!$E357)</f>
        <v>0UJB5</v>
      </c>
      <c r="K356" s="8" t="s">
        <v>272</v>
      </c>
      <c r="L356" s="11" t="str">
        <f>IF([1]All!$L357=0,"",[1]All!$L357)</f>
        <v>RELAY</v>
      </c>
      <c r="M356" s="7" t="str">
        <f>IF([1]All!$AJ357=0,"",[1]All!$AJ357)</f>
        <v xml:space="preserve">B3QJ </v>
      </c>
      <c r="N356" s="7" t="str">
        <f>IF([1]All!$R357=0,"",[1]All!$R357)</f>
        <v/>
      </c>
      <c r="O356" s="7" t="str">
        <f>IF([1]All!$S357=0,"",[1]All!$S357)</f>
        <v/>
      </c>
      <c r="P356" s="7" t="str">
        <f>IF([1]All!$V357=0,"",[1]All!$V357)</f>
        <v>0000160908</v>
      </c>
      <c r="Q356" s="3" t="str">
        <f t="shared" si="35"/>
        <v>$1609.08</v>
      </c>
      <c r="R356" s="8" t="str">
        <f>IF([1]All!$F357=0,"",[1]All!$F357)</f>
        <v>MIL-001-355</v>
      </c>
    </row>
    <row r="357" spans="1:18">
      <c r="A357" s="7"/>
      <c r="B357" s="3">
        <f t="shared" si="30"/>
        <v>70</v>
      </c>
      <c r="C357" s="3" t="str">
        <f t="shared" si="31"/>
        <v>F</v>
      </c>
      <c r="D357" s="9" t="str">
        <f t="shared" si="32"/>
        <v>34163</v>
      </c>
      <c r="E357" s="3" t="str">
        <f t="shared" si="33"/>
        <v>B32A  34163</v>
      </c>
      <c r="F357" s="10" t="str">
        <f t="shared" si="34"/>
        <v>PCCN: CRGARM:-:PLISN: B32A :-:PCC: TIT :-: CAGE: 00779:-:PART NUMBER: 34163:-:NOMENCLATURE: TERMINAL,LUG:-:PRICE: $0.19:-:UNIQUE MODS: NO:-:PROPRIETARILY MFG FOR OEM: NO:-: :-: :-: :-:NSN: 5940010658787 :-: NHA: MIL-001-1188 :-: NHA NSN: 5945016005345</v>
      </c>
      <c r="G357" s="8" t="str">
        <f>IF([1]All!$B358="","",[1]All!$B358)</f>
        <v xml:space="preserve">B32A </v>
      </c>
      <c r="H357" s="8"/>
      <c r="I357" s="8" t="str">
        <f>IF([1]All!$D358=0,"",[1]All!$D358)</f>
        <v>F</v>
      </c>
      <c r="J357" s="8" t="str">
        <f>IF([1]All!$E358=0,"",[1]All!$E358)</f>
        <v>00779</v>
      </c>
      <c r="K357" s="8" t="s">
        <v>273</v>
      </c>
      <c r="L357" s="11" t="str">
        <f>IF([1]All!$L358=0,"",[1]All!$L358)</f>
        <v>TERMINAL,LUG</v>
      </c>
      <c r="M357" s="7" t="str">
        <f>IF([1]All!$AJ358=0,"",[1]All!$AJ358)</f>
        <v xml:space="preserve">B3QJ </v>
      </c>
      <c r="N357" s="7" t="str">
        <f>IF([1]All!$R358=0,"",[1]All!$R358)</f>
        <v>5940</v>
      </c>
      <c r="O357" s="7" t="str">
        <f>IF([1]All!$S358=0,"",[1]All!$S358)</f>
        <v>010658787</v>
      </c>
      <c r="P357" s="7" t="str">
        <f>IF([1]All!$V358=0,"",[1]All!$V358)</f>
        <v>0000000019</v>
      </c>
      <c r="Q357" s="3" t="str">
        <f t="shared" si="35"/>
        <v>$0.19</v>
      </c>
      <c r="R357" s="8" t="str">
        <f>IF([1]All!$F358=0,"",[1]All!$F358)</f>
        <v>34163</v>
      </c>
    </row>
    <row r="358" spans="1:18">
      <c r="A358" s="7"/>
      <c r="B358" s="3">
        <f t="shared" si="30"/>
        <v>70</v>
      </c>
      <c r="C358" s="3" t="str">
        <f t="shared" si="31"/>
        <v>F</v>
      </c>
      <c r="D358" s="9" t="str">
        <f t="shared" si="32"/>
        <v>13216E6191-1</v>
      </c>
      <c r="E358" s="3" t="str">
        <f t="shared" si="33"/>
        <v>B376  13216E6191-1</v>
      </c>
      <c r="F358" s="10" t="str">
        <f t="shared" si="34"/>
        <v>PCCN: CRGARM:-:PLISN: B376 :-:PCC: TIT :-: CAGE: 97403:-:PART NUMBER: 13216E6191-1:-:NOMENCLATURE: TERMINAL,QUICK DISC:-:PRICE: $0.04:-:UNIQUE MODS: NO:-:PROPRIETARILY MFG FOR OEM: NO:-: :-: :-: :-:NSN: 5940009489686 :-: NHA: MIL-001-1188 :-: NHA NSN: 5945016005345</v>
      </c>
      <c r="G358" s="8" t="str">
        <f>IF([1]All!$B359="","",[1]All!$B359)</f>
        <v xml:space="preserve">B376 </v>
      </c>
      <c r="H358" s="8"/>
      <c r="I358" s="8" t="str">
        <f>IF([1]All!$D359=0,"",[1]All!$D359)</f>
        <v>F</v>
      </c>
      <c r="J358" s="8" t="str">
        <f>IF([1]All!$E359=0,"",[1]All!$E359)</f>
        <v>97403</v>
      </c>
      <c r="K358" s="8" t="s">
        <v>274</v>
      </c>
      <c r="L358" s="11" t="str">
        <f>IF([1]All!$L359=0,"",[1]All!$L359)</f>
        <v>TERMINAL,QUICK DISC</v>
      </c>
      <c r="M358" s="7" t="str">
        <f>IF([1]All!$AJ359=0,"",[1]All!$AJ359)</f>
        <v xml:space="preserve">B3QJ </v>
      </c>
      <c r="N358" s="7" t="str">
        <f>IF([1]All!$R359=0,"",[1]All!$R359)</f>
        <v>5940</v>
      </c>
      <c r="O358" s="7" t="str">
        <f>IF([1]All!$S359=0,"",[1]All!$S359)</f>
        <v>009489686</v>
      </c>
      <c r="P358" s="7" t="str">
        <f>IF([1]All!$V359=0,"",[1]All!$V359)</f>
        <v>0000000004</v>
      </c>
      <c r="Q358" s="3" t="str">
        <f t="shared" si="35"/>
        <v>$0.04</v>
      </c>
      <c r="R358" s="8" t="str">
        <f>IF([1]All!$F359=0,"",[1]All!$F359)</f>
        <v>13216E6191-1</v>
      </c>
    </row>
    <row r="359" spans="1:18">
      <c r="A359" s="7"/>
      <c r="B359" s="3">
        <f t="shared" si="30"/>
        <v>70</v>
      </c>
      <c r="C359" s="3" t="str">
        <f t="shared" si="31"/>
        <v>F</v>
      </c>
      <c r="D359" s="9" t="str">
        <f t="shared" si="32"/>
        <v>DVF14-250</v>
      </c>
      <c r="E359" s="3" t="str">
        <f t="shared" si="33"/>
        <v>B4D2  DVF14-250</v>
      </c>
      <c r="F359" s="10" t="str">
        <f t="shared" si="34"/>
        <v>PCCN: CRGARM:-:PLISN: B4D2 :-:PCC: TIT :-: CAGE: 06383:-:PART NUMBER: DVF14-250:-:NOMENCLATURE: TERMINAL,QUICK DISC:-:PRICE: $0.09:-:UNIQUE MODS: NO:-:PROPRIETARILY MFG FOR OEM: NO:-: :-: :-: :-:NSN: 5940009260085 :-: NHA: MIL-001-1188 :-: NHA NSN: 5945016005345</v>
      </c>
      <c r="G359" s="8" t="str">
        <f>IF([1]All!$B360="","",[1]All!$B360)</f>
        <v xml:space="preserve">B4D2 </v>
      </c>
      <c r="H359" s="8"/>
      <c r="I359" s="8" t="str">
        <f>IF([1]All!$D360=0,"",[1]All!$D360)</f>
        <v>F</v>
      </c>
      <c r="J359" s="8" t="str">
        <f>IF([1]All!$E360=0,"",[1]All!$E360)</f>
        <v>06383</v>
      </c>
      <c r="K359" s="8" t="s">
        <v>275</v>
      </c>
      <c r="L359" s="11" t="str">
        <f>IF([1]All!$L360=0,"",[1]All!$L360)</f>
        <v>TERMINAL,QUICK DISC</v>
      </c>
      <c r="M359" s="7" t="str">
        <f>IF([1]All!$AJ360=0,"",[1]All!$AJ360)</f>
        <v xml:space="preserve">B3QJ </v>
      </c>
      <c r="N359" s="7" t="str">
        <f>IF([1]All!$R360=0,"",[1]All!$R360)</f>
        <v>5940</v>
      </c>
      <c r="O359" s="7" t="str">
        <f>IF([1]All!$S360=0,"",[1]All!$S360)</f>
        <v>009260085</v>
      </c>
      <c r="P359" s="7" t="str">
        <f>IF([1]All!$V360=0,"",[1]All!$V360)</f>
        <v>0000000009</v>
      </c>
      <c r="Q359" s="3" t="str">
        <f t="shared" si="35"/>
        <v>$0.09</v>
      </c>
      <c r="R359" s="8" t="str">
        <f>IF([1]All!$F360=0,"",[1]All!$F360)</f>
        <v>DVF14-250</v>
      </c>
    </row>
    <row r="360" spans="1:18">
      <c r="A360" s="7"/>
      <c r="B360" s="3">
        <f t="shared" si="30"/>
        <v>70</v>
      </c>
      <c r="C360" s="3" t="str">
        <f t="shared" si="31"/>
        <v>F</v>
      </c>
      <c r="D360" s="9" t="str">
        <f t="shared" si="32"/>
        <v>RB2517</v>
      </c>
      <c r="E360" s="3" t="str">
        <f t="shared" si="33"/>
        <v>B4KY  RB2517</v>
      </c>
      <c r="F360" s="10" t="str">
        <f t="shared" si="34"/>
        <v>PCCN: CRGARM:-:PLISN: B4KY :-:PCC: TIT :-: CAGE: 56501:-:PART NUMBER: RB2517:-:NOMENCLATURE: TERMINAL,QUICK DISC:-:PRICE: $8.23:-:UNIQUE MODS: NO:-:PROPRIETARILY MFG FOR OEM: NO:-: :-: :-: :-:NSN: 5940003787225 :-: NHA: MIL-001-1188 :-: NHA NSN: 5945016005345</v>
      </c>
      <c r="G360" s="8" t="str">
        <f>IF([1]All!$B361="","",[1]All!$B361)</f>
        <v xml:space="preserve">B4KY </v>
      </c>
      <c r="H360" s="8"/>
      <c r="I360" s="8" t="str">
        <f>IF([1]All!$D361=0,"",[1]All!$D361)</f>
        <v>F</v>
      </c>
      <c r="J360" s="8" t="str">
        <f>IF([1]All!$E361=0,"",[1]All!$E361)</f>
        <v>56501</v>
      </c>
      <c r="K360" s="8" t="s">
        <v>276</v>
      </c>
      <c r="L360" s="11" t="str">
        <f>IF([1]All!$L361=0,"",[1]All!$L361)</f>
        <v>TERMINAL,QUICK DISC</v>
      </c>
      <c r="M360" s="7" t="str">
        <f>IF([1]All!$AJ361=0,"",[1]All!$AJ361)</f>
        <v xml:space="preserve">B3QJ </v>
      </c>
      <c r="N360" s="7" t="str">
        <f>IF([1]All!$R361=0,"",[1]All!$R361)</f>
        <v>5940</v>
      </c>
      <c r="O360" s="7" t="str">
        <f>IF([1]All!$S361=0,"",[1]All!$S361)</f>
        <v>003787225</v>
      </c>
      <c r="P360" s="7" t="str">
        <f>IF([1]All!$V361=0,"",[1]All!$V361)</f>
        <v>0000000823</v>
      </c>
      <c r="Q360" s="3" t="str">
        <f t="shared" si="35"/>
        <v>$8.23</v>
      </c>
      <c r="R360" s="8" t="str">
        <f>IF([1]All!$F361=0,"",[1]All!$F361)</f>
        <v>RB2517</v>
      </c>
    </row>
    <row r="361" spans="1:18">
      <c r="A361" s="7"/>
      <c r="B361" s="3">
        <f t="shared" si="30"/>
        <v>70</v>
      </c>
      <c r="C361" s="3" t="str">
        <f t="shared" si="31"/>
        <v>F</v>
      </c>
      <c r="D361" s="9" t="str">
        <f t="shared" si="32"/>
        <v>MIL-001-650</v>
      </c>
      <c r="E361" s="3" t="str">
        <f t="shared" si="33"/>
        <v>B4RU  MIL-001-650</v>
      </c>
      <c r="F361" s="10" t="str">
        <f t="shared" si="34"/>
        <v>PCCN: CRGARM:-:PLISN: B4RU :-:PCC: TIT :-: CAGE: 0UJB5:-:PART NUMBER: MIL-001-650:-:NOMENCLATURE: TERMINAL,QUICK DISC:-:PRICE: $0.21:-:UNIQUE MODS: NO:-:PROPRIETARILY MFG FOR OEM: NO:-: :-: :-: :-:NSN: 5940016005878 :-: NHA: MIL-001-1188 :-: NHA NSN: 5945016005345</v>
      </c>
      <c r="G361" s="8" t="str">
        <f>IF([1]All!$B362="","",[1]All!$B362)</f>
        <v xml:space="preserve">B4RU </v>
      </c>
      <c r="H361" s="8"/>
      <c r="I361" s="8" t="str">
        <f>IF([1]All!$D362=0,"",[1]All!$D362)</f>
        <v>F</v>
      </c>
      <c r="J361" s="8" t="str">
        <f>IF([1]All!$E362=0,"",[1]All!$E362)</f>
        <v>0UJB5</v>
      </c>
      <c r="K361" s="8" t="s">
        <v>277</v>
      </c>
      <c r="L361" s="11" t="str">
        <f>IF([1]All!$L362=0,"",[1]All!$L362)</f>
        <v>TERMINAL,QUICK DISC</v>
      </c>
      <c r="M361" s="7" t="str">
        <f>IF([1]All!$AJ362=0,"",[1]All!$AJ362)</f>
        <v xml:space="preserve">B3QJ </v>
      </c>
      <c r="N361" s="7" t="str">
        <f>IF([1]All!$R362=0,"",[1]All!$R362)</f>
        <v>5940</v>
      </c>
      <c r="O361" s="7" t="str">
        <f>IF([1]All!$S362=0,"",[1]All!$S362)</f>
        <v>016005878</v>
      </c>
      <c r="P361" s="7" t="str">
        <f>IF([1]All!$V362=0,"",[1]All!$V362)</f>
        <v>0000000021</v>
      </c>
      <c r="Q361" s="3" t="str">
        <f t="shared" si="35"/>
        <v>$0.21</v>
      </c>
      <c r="R361" s="8" t="str">
        <f>IF([1]All!$F362=0,"",[1]All!$F362)</f>
        <v>MIL-001-650</v>
      </c>
    </row>
    <row r="362" spans="1:18">
      <c r="A362" s="7"/>
      <c r="B362" s="3">
        <f t="shared" si="30"/>
        <v>69</v>
      </c>
      <c r="C362" s="3" t="str">
        <f t="shared" si="31"/>
        <v>E</v>
      </c>
      <c r="D362" s="9" t="str">
        <f t="shared" si="32"/>
        <v>MIL-001-768</v>
      </c>
      <c r="E362" s="3" t="str">
        <f t="shared" si="33"/>
        <v>B4XQ  MIL-001-768</v>
      </c>
      <c r="F362" s="10" t="str">
        <f t="shared" si="34"/>
        <v>PCCN: CRGARM:-:PLISN: B4XQ :-:PCC: TIT :-: CAGE: 0UJB5:-:PART NUMBER: MIL-001-768:-:NOMENCLATURE: BRACKET,MOUNTING:-:PRICE: $100.19:-:UNIQUE MODS: NO:-:PROPRIETARILY MFG FOR OEM: NO:-: :-: :-: :-:NSN: 5340016005343 :-: NHA: MIL-001-1190</v>
      </c>
      <c r="G362" s="8" t="str">
        <f>IF([1]All!$B363="","",[1]All!$B363)</f>
        <v xml:space="preserve">B4XQ </v>
      </c>
      <c r="H362" s="8"/>
      <c r="I362" s="8" t="str">
        <f>IF([1]All!$D363=0,"",[1]All!$D363)</f>
        <v>E</v>
      </c>
      <c r="J362" s="8" t="str">
        <f>IF([1]All!$E363=0,"",[1]All!$E363)</f>
        <v>0UJB5</v>
      </c>
      <c r="K362" s="8" t="s">
        <v>278</v>
      </c>
      <c r="L362" s="11" t="str">
        <f>IF([1]All!$L363=0,"",[1]All!$L363)</f>
        <v>BRACKET,MOUNTING</v>
      </c>
      <c r="M362" s="7" t="str">
        <f>IF([1]All!$AJ363=0,"",[1]All!$AJ363)</f>
        <v xml:space="preserve">BXGS </v>
      </c>
      <c r="N362" s="7" t="str">
        <f>IF([1]All!$R363=0,"",[1]All!$R363)</f>
        <v>5340</v>
      </c>
      <c r="O362" s="7" t="str">
        <f>IF([1]All!$S363=0,"",[1]All!$S363)</f>
        <v>016005343</v>
      </c>
      <c r="P362" s="7" t="str">
        <f>IF([1]All!$V363=0,"",[1]All!$V363)</f>
        <v>0000010019</v>
      </c>
      <c r="Q362" s="3" t="str">
        <f t="shared" si="35"/>
        <v>$100.19</v>
      </c>
      <c r="R362" s="8" t="str">
        <f>IF([1]All!$F363=0,"",[1]All!$F363)</f>
        <v>MIL-001-768</v>
      </c>
    </row>
    <row r="363" spans="1:18">
      <c r="A363" s="7"/>
      <c r="B363" s="3">
        <f t="shared" si="30"/>
        <v>69</v>
      </c>
      <c r="C363" s="3" t="str">
        <f t="shared" si="31"/>
        <v>E</v>
      </c>
      <c r="D363" s="9" t="str">
        <f t="shared" si="32"/>
        <v>91286A154</v>
      </c>
      <c r="E363" s="3" t="str">
        <f t="shared" si="33"/>
        <v>B43L  91286A154</v>
      </c>
      <c r="F363" s="10" t="str">
        <f t="shared" si="34"/>
        <v>PCCN: CRGARM:-:PLISN: B43L :-:PCC: TIT :-: CAGE: 39428:-:PART NUMBER: 91286A154:-:NOMENCLATURE: SCREW,CAP,HEXAGON H:-:PRICE: $1.17:-:UNIQUE MODS: NO:-:PROPRIETARILY MFG FOR OEM: NO:-: :-: :-: :-:NSN: 5305015867988 :-: NHA: MIL-001-1190</v>
      </c>
      <c r="G363" s="8" t="str">
        <f>IF([1]All!$B364="","",[1]All!$B364)</f>
        <v xml:space="preserve">B43L </v>
      </c>
      <c r="H363" s="8"/>
      <c r="I363" s="8" t="str">
        <f>IF([1]All!$D364=0,"",[1]All!$D364)</f>
        <v>E</v>
      </c>
      <c r="J363" s="8" t="str">
        <f>IF([1]All!$E364=0,"",[1]All!$E364)</f>
        <v>39428</v>
      </c>
      <c r="K363" s="8" t="s">
        <v>279</v>
      </c>
      <c r="L363" s="11" t="str">
        <f>IF([1]All!$L364=0,"",[1]All!$L364)</f>
        <v>SCREW,CAP,HEXAGON H</v>
      </c>
      <c r="M363" s="7" t="str">
        <f>IF([1]All!$AJ364=0,"",[1]All!$AJ364)</f>
        <v xml:space="preserve">BXGS </v>
      </c>
      <c r="N363" s="7" t="str">
        <f>IF([1]All!$R364=0,"",[1]All!$R364)</f>
        <v>5305</v>
      </c>
      <c r="O363" s="7" t="str">
        <f>IF([1]All!$S364=0,"",[1]All!$S364)</f>
        <v>015867988</v>
      </c>
      <c r="P363" s="7" t="str">
        <f>IF([1]All!$V364=0,"",[1]All!$V364)</f>
        <v>0000000117</v>
      </c>
      <c r="Q363" s="3" t="str">
        <f t="shared" si="35"/>
        <v>$1.17</v>
      </c>
      <c r="R363" s="8" t="str">
        <f>IF([1]All!$F364=0,"",[1]All!$F364)</f>
        <v>91286A154</v>
      </c>
    </row>
    <row r="364" spans="1:18">
      <c r="A364" s="7"/>
      <c r="B364" s="3">
        <f t="shared" si="30"/>
        <v>69</v>
      </c>
      <c r="C364" s="3" t="str">
        <f t="shared" si="31"/>
        <v>E</v>
      </c>
      <c r="D364" s="9" t="str">
        <f t="shared" si="32"/>
        <v>MIL-001-337</v>
      </c>
      <c r="E364" s="3" t="str">
        <f t="shared" si="33"/>
        <v>B49G  MIL-001-337</v>
      </c>
      <c r="F364" s="10" t="str">
        <f t="shared" si="34"/>
        <v>PCCN: CRGARM:-:PLISN: B49G :-:PCC: TIT :-: CAGE: 0UJB5:-:PART NUMBER: MIL-001-337:-:NOMENCLATURE: NUT,PLAIN,HEXAGON:-:PRICE: $0.16:-:UNIQUE MODS: NO:-:PROPRIETARILY MFG FOR OEM: NO:-: :-: :-: :-:NSN: 5310016005905 :-: NHA: MIL-001-1190</v>
      </c>
      <c r="G364" s="8" t="str">
        <f>IF([1]All!$B365="","",[1]All!$B365)</f>
        <v xml:space="preserve">B49G </v>
      </c>
      <c r="H364" s="8"/>
      <c r="I364" s="8" t="str">
        <f>IF([1]All!$D365=0,"",[1]All!$D365)</f>
        <v>E</v>
      </c>
      <c r="J364" s="8" t="str">
        <f>IF([1]All!$E365=0,"",[1]All!$E365)</f>
        <v>0UJB5</v>
      </c>
      <c r="K364" s="8" t="s">
        <v>280</v>
      </c>
      <c r="L364" s="11" t="str">
        <f>IF([1]All!$L365=0,"",[1]All!$L365)</f>
        <v>NUT,PLAIN,HEXAGON</v>
      </c>
      <c r="M364" s="7" t="str">
        <f>IF([1]All!$AJ365=0,"",[1]All!$AJ365)</f>
        <v xml:space="preserve">BXGS </v>
      </c>
      <c r="N364" s="7" t="str">
        <f>IF([1]All!$R365=0,"",[1]All!$R365)</f>
        <v>5310</v>
      </c>
      <c r="O364" s="7" t="str">
        <f>IF([1]All!$S365=0,"",[1]All!$S365)</f>
        <v>016005905</v>
      </c>
      <c r="P364" s="7" t="str">
        <f>IF([1]All!$V365=0,"",[1]All!$V365)</f>
        <v>0000000016</v>
      </c>
      <c r="Q364" s="3" t="str">
        <f t="shared" si="35"/>
        <v>$0.16</v>
      </c>
      <c r="R364" s="8" t="str">
        <f>IF([1]All!$F365=0,"",[1]All!$F365)</f>
        <v>MIL-001-337</v>
      </c>
    </row>
    <row r="365" spans="1:18">
      <c r="A365" s="7"/>
      <c r="B365" s="3">
        <f t="shared" si="30"/>
        <v>69</v>
      </c>
      <c r="C365" s="3" t="str">
        <f t="shared" si="31"/>
        <v>E</v>
      </c>
      <c r="D365" s="9" t="str">
        <f t="shared" si="32"/>
        <v>90108A415</v>
      </c>
      <c r="E365" s="3" t="str">
        <f t="shared" si="33"/>
        <v>B5FC  90108A415</v>
      </c>
      <c r="F365" s="10" t="str">
        <f t="shared" si="34"/>
        <v>PCCN: CRGARM:-:PLISN: B5FC :-:PCC: TIT :-: CAGE: 39428:-:PART NUMBER: 90108A415:-:NOMENCLATURE: WASHER,FLAT:-:PRICE: $0.06:-:UNIQUE MODS: NO:-:PROPRIETARILY MFG FOR OEM: NO:-: :-: :-: :-:NSN: 5310015316759 :-: NHA: MIL-001-1190</v>
      </c>
      <c r="G365" s="8" t="str">
        <f>IF([1]All!$B366="","",[1]All!$B366)</f>
        <v xml:space="preserve">B5FC </v>
      </c>
      <c r="H365" s="8"/>
      <c r="I365" s="8" t="str">
        <f>IF([1]All!$D366=0,"",[1]All!$D366)</f>
        <v>E</v>
      </c>
      <c r="J365" s="8" t="str">
        <f>IF([1]All!$E366=0,"",[1]All!$E366)</f>
        <v>39428</v>
      </c>
      <c r="K365" s="8" t="s">
        <v>281</v>
      </c>
      <c r="L365" s="11" t="str">
        <f>IF([1]All!$L366=0,"",[1]All!$L366)</f>
        <v>WASHER,FLAT</v>
      </c>
      <c r="M365" s="7" t="str">
        <f>IF([1]All!$AJ366=0,"",[1]All!$AJ366)</f>
        <v xml:space="preserve">BXGS </v>
      </c>
      <c r="N365" s="7" t="str">
        <f>IF([1]All!$R366=0,"",[1]All!$R366)</f>
        <v>5310</v>
      </c>
      <c r="O365" s="7" t="str">
        <f>IF([1]All!$S366=0,"",[1]All!$S366)</f>
        <v>015316759</v>
      </c>
      <c r="P365" s="7" t="str">
        <f>IF([1]All!$V366=0,"",[1]All!$V366)</f>
        <v>0000000006</v>
      </c>
      <c r="Q365" s="3" t="str">
        <f t="shared" si="35"/>
        <v>$0.06</v>
      </c>
      <c r="R365" s="8" t="str">
        <f>IF([1]All!$F366=0,"",[1]All!$F366)</f>
        <v>90108A415</v>
      </c>
    </row>
    <row r="366" spans="1:18">
      <c r="A366" s="7"/>
      <c r="B366" s="3">
        <f t="shared" si="30"/>
        <v>69</v>
      </c>
      <c r="C366" s="3" t="str">
        <f t="shared" si="31"/>
        <v>E</v>
      </c>
      <c r="D366" s="9" t="str">
        <f t="shared" si="32"/>
        <v>1133620</v>
      </c>
      <c r="E366" s="3" t="str">
        <f t="shared" si="33"/>
        <v>B5L8  1133620</v>
      </c>
      <c r="F366" s="10" t="str">
        <f t="shared" si="34"/>
        <v>PCCN: CRGARM:-:PLISN: B5L8 :-:PCC: TIT :-: CAGE: 0Y3H3:-:PART NUMBER: 1133620:-:NOMENCLATURE: WASHER,LOCK:-:PRICE: $9.78:-:UNIQUE MODS: NO:-:PROPRIETARILY MFG FOR OEM: NO:-: :-: :-: :-:NSN: 5310015835810 :-: NHA: MIL-001-1190</v>
      </c>
      <c r="G366" s="8" t="str">
        <f>IF([1]All!$B367="","",[1]All!$B367)</f>
        <v xml:space="preserve">B5L8 </v>
      </c>
      <c r="H366" s="8"/>
      <c r="I366" s="8" t="str">
        <f>IF([1]All!$D367=0,"",[1]All!$D367)</f>
        <v>E</v>
      </c>
      <c r="J366" s="8" t="str">
        <f>IF([1]All!$E367=0,"",[1]All!$E367)</f>
        <v>0Y3H3</v>
      </c>
      <c r="K366" s="8" t="s">
        <v>225</v>
      </c>
      <c r="L366" s="11" t="str">
        <f>IF([1]All!$L367=0,"",[1]All!$L367)</f>
        <v>WASHER,LOCK</v>
      </c>
      <c r="M366" s="7" t="str">
        <f>IF([1]All!$AJ367=0,"",[1]All!$AJ367)</f>
        <v xml:space="preserve">BXGS </v>
      </c>
      <c r="N366" s="7" t="str">
        <f>IF([1]All!$R367=0,"",[1]All!$R367)</f>
        <v>5310</v>
      </c>
      <c r="O366" s="7" t="str">
        <f>IF([1]All!$S367=0,"",[1]All!$S367)</f>
        <v>015835810</v>
      </c>
      <c r="P366" s="7" t="str">
        <f>IF([1]All!$V367=0,"",[1]All!$V367)</f>
        <v>0000000978</v>
      </c>
      <c r="Q366" s="3" t="str">
        <f t="shared" si="35"/>
        <v>$9.78</v>
      </c>
      <c r="R366" s="8" t="str">
        <f>IF([1]All!$F367=0,"",[1]All!$F367)</f>
        <v>1133620</v>
      </c>
    </row>
    <row r="367" spans="1:18">
      <c r="A367" s="7"/>
      <c r="B367" s="3">
        <f t="shared" si="30"/>
        <v>69</v>
      </c>
      <c r="C367" s="3" t="str">
        <f t="shared" si="31"/>
        <v>E</v>
      </c>
      <c r="D367" s="9" t="str">
        <f t="shared" si="32"/>
        <v>MIL-001-1191</v>
      </c>
      <c r="E367" s="3" t="str">
        <f t="shared" si="33"/>
        <v>B5S4  MIL-001-1191</v>
      </c>
      <c r="F367" s="10" t="str">
        <f t="shared" si="34"/>
        <v>PCCN: CRGARM:-:PLISN: B5S4 :-:PCC: TIT :-: CAGE: 0UJB5:-:PART NUMBER: MIL-001-1191:-:NOMENCLATURE: CABLE ASSEMBLY,SPEC:-:PRICE: $65.00:-:UNIQUE MODS: NO:-:PROPRIETARILY MFG FOR OEM: NO:-: :-: :-: :-: :-: NHA: MIL-001-1190</v>
      </c>
      <c r="G367" s="8" t="str">
        <f>IF([1]All!$B368="","",[1]All!$B368)</f>
        <v xml:space="preserve">B5S4 </v>
      </c>
      <c r="H367" s="8"/>
      <c r="I367" s="8" t="str">
        <f>IF([1]All!$D368=0,"",[1]All!$D368)</f>
        <v>E</v>
      </c>
      <c r="J367" s="8" t="str">
        <f>IF([1]All!$E368=0,"",[1]All!$E368)</f>
        <v>0UJB5</v>
      </c>
      <c r="K367" s="8" t="s">
        <v>282</v>
      </c>
      <c r="L367" s="11" t="str">
        <f>IF([1]All!$L368=0,"",[1]All!$L368)</f>
        <v>CABLE ASSEMBLY,SPEC</v>
      </c>
      <c r="M367" s="7" t="str">
        <f>IF([1]All!$AJ368=0,"",[1]All!$AJ368)</f>
        <v xml:space="preserve">BXGS </v>
      </c>
      <c r="N367" s="7" t="str">
        <f>IF([1]All!$R368=0,"",[1]All!$R368)</f>
        <v/>
      </c>
      <c r="O367" s="7" t="str">
        <f>IF([1]All!$S368=0,"",[1]All!$S368)</f>
        <v/>
      </c>
      <c r="P367" s="7" t="str">
        <f>IF([1]All!$V368=0,"",[1]All!$V368)</f>
        <v>0000006500</v>
      </c>
      <c r="Q367" s="3" t="str">
        <f t="shared" si="35"/>
        <v>$65.00</v>
      </c>
      <c r="R367" s="8" t="str">
        <f>IF([1]All!$F368=0,"",[1]All!$F368)</f>
        <v>MIL-001-1191</v>
      </c>
    </row>
    <row r="368" spans="1:18">
      <c r="A368" s="7"/>
      <c r="B368" s="3">
        <f t="shared" si="30"/>
        <v>70</v>
      </c>
      <c r="C368" s="3" t="str">
        <f t="shared" si="31"/>
        <v>F</v>
      </c>
      <c r="D368" s="9" t="str">
        <f t="shared" si="32"/>
        <v>MIL-001-1545</v>
      </c>
      <c r="E368" s="3" t="str">
        <f t="shared" si="33"/>
        <v>B5Y0  MIL-001-1545</v>
      </c>
      <c r="F368" s="10" t="str">
        <f t="shared" si="34"/>
        <v>PCCN: CRGARM:-:PLISN: B5Y0 :-:PCC: TIT :-: CAGE: 0UJB5:-:PART NUMBER: MIL-001-1545:-:NOMENCLATURE: CABLE,POWER,ELECTRI:-:PRICE: $4.00:-:UNIQUE MODS: NO:-:PROPRIETARILY MFG FOR OEM: NO:-: :-: :-: :-: :-: NHA: MIL-001-1191</v>
      </c>
      <c r="G368" s="8" t="str">
        <f>IF([1]All!$B369="","",[1]All!$B369)</f>
        <v xml:space="preserve">B5Y0 </v>
      </c>
      <c r="H368" s="8"/>
      <c r="I368" s="8" t="str">
        <f>IF([1]All!$D369=0,"",[1]All!$D369)</f>
        <v>F</v>
      </c>
      <c r="J368" s="8" t="str">
        <f>IF([1]All!$E369=0,"",[1]All!$E369)</f>
        <v>0UJB5</v>
      </c>
      <c r="K368" s="8" t="s">
        <v>283</v>
      </c>
      <c r="L368" s="11" t="str">
        <f>IF([1]All!$L369=0,"",[1]All!$L369)</f>
        <v>CABLE,POWER,ELECTRI</v>
      </c>
      <c r="M368" s="7" t="str">
        <f>IF([1]All!$AJ369=0,"",[1]All!$AJ369)</f>
        <v xml:space="preserve">B5S4 </v>
      </c>
      <c r="N368" s="7" t="str">
        <f>IF([1]All!$R369=0,"",[1]All!$R369)</f>
        <v/>
      </c>
      <c r="O368" s="7" t="str">
        <f>IF([1]All!$S369=0,"",[1]All!$S369)</f>
        <v/>
      </c>
      <c r="P368" s="7" t="str">
        <f>IF([1]All!$V369=0,"",[1]All!$V369)</f>
        <v>0000000400</v>
      </c>
      <c r="Q368" s="3" t="str">
        <f t="shared" si="35"/>
        <v>$4.00</v>
      </c>
      <c r="R368" s="8" t="str">
        <f>IF([1]All!$F369=0,"",[1]All!$F369)</f>
        <v>MIL-001-1545</v>
      </c>
    </row>
    <row r="369" spans="1:18">
      <c r="A369" s="7"/>
      <c r="B369" s="3">
        <f t="shared" si="30"/>
        <v>70</v>
      </c>
      <c r="C369" s="3" t="str">
        <f t="shared" si="31"/>
        <v>F</v>
      </c>
      <c r="D369" s="9" t="str">
        <f t="shared" si="32"/>
        <v>DT06-4S</v>
      </c>
      <c r="E369" s="3" t="str">
        <f t="shared" si="33"/>
        <v>B54W  DT06-4S</v>
      </c>
      <c r="F369" s="10" t="str">
        <f t="shared" si="34"/>
        <v>PCCN: CRGARM:-:PLISN: B54W :-:PCC: TIT :-: CAGE: 11139:-:PART NUMBER: DT06-4S:-:NOMENCLATURE: CONNECTOR,PLUG,ELEC:-:PRICE: $1.30:-:UNIQUE MODS: NO:-:PROPRIETARILY MFG FOR OEM: NO:-: :-: :-: :-:NSN: 5935014846537 :-: NHA: MIL-001-1191</v>
      </c>
      <c r="G369" s="8" t="str">
        <f>IF([1]All!$B370="","",[1]All!$B370)</f>
        <v xml:space="preserve">B54W </v>
      </c>
      <c r="H369" s="8"/>
      <c r="I369" s="8" t="str">
        <f>IF([1]All!$D370=0,"",[1]All!$D370)</f>
        <v>F</v>
      </c>
      <c r="J369" s="8" t="str">
        <f>IF([1]All!$E370=0,"",[1]All!$E370)</f>
        <v>11139</v>
      </c>
      <c r="K369" s="8" t="s">
        <v>284</v>
      </c>
      <c r="L369" s="11" t="str">
        <f>IF([1]All!$L370=0,"",[1]All!$L370)</f>
        <v>CONNECTOR,PLUG,ELEC</v>
      </c>
      <c r="M369" s="7" t="str">
        <f>IF([1]All!$AJ370=0,"",[1]All!$AJ370)</f>
        <v xml:space="preserve">B5S4 </v>
      </c>
      <c r="N369" s="7" t="str">
        <f>IF([1]All!$R370=0,"",[1]All!$R370)</f>
        <v>5935</v>
      </c>
      <c r="O369" s="7" t="str">
        <f>IF([1]All!$S370=0,"",[1]All!$S370)</f>
        <v>014846537</v>
      </c>
      <c r="P369" s="7" t="str">
        <f>IF([1]All!$V370=0,"",[1]All!$V370)</f>
        <v>0000000130</v>
      </c>
      <c r="Q369" s="3" t="str">
        <f t="shared" si="35"/>
        <v>$1.30</v>
      </c>
      <c r="R369" s="8" t="str">
        <f>IF([1]All!$F370=0,"",[1]All!$F370)</f>
        <v>DT06-4S</v>
      </c>
    </row>
    <row r="370" spans="1:18">
      <c r="A370" s="7"/>
      <c r="B370" s="3">
        <f t="shared" si="30"/>
        <v>70</v>
      </c>
      <c r="C370" s="3" t="str">
        <f t="shared" si="31"/>
        <v>F</v>
      </c>
      <c r="D370" s="9" t="str">
        <f t="shared" si="32"/>
        <v>W4S-P012</v>
      </c>
      <c r="E370" s="3" t="str">
        <f t="shared" si="33"/>
        <v>B6AS  W4S-P012</v>
      </c>
      <c r="F370" s="10" t="str">
        <f t="shared" si="34"/>
        <v>PCCN: CRGARM:-:PLISN: B6AS :-:PCC: TIT :-: CAGE: 11139:-:PART NUMBER: W4S-P012:-:NOMENCLATURE: RETAINER,ELECTRICAL:-:PRICE: $0.54:-:UNIQUE MODS: NO:-:PROPRIETARILY MFG FOR OEM: NO:-: :-: :-: :-:NSN: 5935015176022 :-: NHA: MIL-001-1191</v>
      </c>
      <c r="G370" s="8" t="str">
        <f>IF([1]All!$B371="","",[1]All!$B371)</f>
        <v xml:space="preserve">B6AS </v>
      </c>
      <c r="H370" s="8"/>
      <c r="I370" s="8" t="str">
        <f>IF([1]All!$D371=0,"",[1]All!$D371)</f>
        <v>F</v>
      </c>
      <c r="J370" s="8" t="str">
        <f>IF([1]All!$E371=0,"",[1]All!$E371)</f>
        <v>11139</v>
      </c>
      <c r="K370" s="8" t="s">
        <v>285</v>
      </c>
      <c r="L370" s="11" t="str">
        <f>IF([1]All!$L371=0,"",[1]All!$L371)</f>
        <v>RETAINER,ELECTRICAL</v>
      </c>
      <c r="M370" s="7" t="str">
        <f>IF([1]All!$AJ371=0,"",[1]All!$AJ371)</f>
        <v xml:space="preserve">B5S4 </v>
      </c>
      <c r="N370" s="7" t="str">
        <f>IF([1]All!$R371=0,"",[1]All!$R371)</f>
        <v>5935</v>
      </c>
      <c r="O370" s="7" t="str">
        <f>IF([1]All!$S371=0,"",[1]All!$S371)</f>
        <v>015176022</v>
      </c>
      <c r="P370" s="7" t="str">
        <f>IF([1]All!$V371=0,"",[1]All!$V371)</f>
        <v>0000000054</v>
      </c>
      <c r="Q370" s="3" t="str">
        <f t="shared" si="35"/>
        <v>$0.54</v>
      </c>
      <c r="R370" s="8" t="str">
        <f>IF([1]All!$F371=0,"",[1]All!$F371)</f>
        <v>W4S-P012</v>
      </c>
    </row>
    <row r="371" spans="1:18">
      <c r="A371" s="7"/>
      <c r="B371" s="3">
        <f t="shared" si="30"/>
        <v>70</v>
      </c>
      <c r="C371" s="3" t="str">
        <f t="shared" si="31"/>
        <v>F</v>
      </c>
      <c r="D371" s="9" t="str">
        <f t="shared" si="32"/>
        <v>0462-201-16141</v>
      </c>
      <c r="E371" s="3" t="str">
        <f t="shared" si="33"/>
        <v>B6GN  0462-201-16141</v>
      </c>
      <c r="F371" s="10" t="str">
        <f t="shared" si="34"/>
        <v>PCCN: CRGARM:-:PLISN: B6GN :-:PCC: TIT :-: CAGE: 11139:-:PART NUMBER: 0462-201-16141:-:NOMENCLATURE: CONTACT,ELECTRICAL:-:PRICE: $0.40:-:UNIQUE MODS: NO:-:PROPRIETARILY MFG FOR OEM: NO:-: :-: :-: :-:NSN: 5999012036687 :-: NHA: MIL-001-1191</v>
      </c>
      <c r="G371" s="8" t="str">
        <f>IF([1]All!$B372="","",[1]All!$B372)</f>
        <v xml:space="preserve">B6GN </v>
      </c>
      <c r="H371" s="8"/>
      <c r="I371" s="8" t="str">
        <f>IF([1]All!$D372=0,"",[1]All!$D372)</f>
        <v>F</v>
      </c>
      <c r="J371" s="8" t="str">
        <f>IF([1]All!$E372=0,"",[1]All!$E372)</f>
        <v>11139</v>
      </c>
      <c r="K371" s="8" t="s">
        <v>286</v>
      </c>
      <c r="L371" s="11" t="str">
        <f>IF([1]All!$L372=0,"",[1]All!$L372)</f>
        <v>CONTACT,ELECTRICAL</v>
      </c>
      <c r="M371" s="7" t="str">
        <f>IF([1]All!$AJ372=0,"",[1]All!$AJ372)</f>
        <v xml:space="preserve">B5S4 </v>
      </c>
      <c r="N371" s="7" t="str">
        <f>IF([1]All!$R372=0,"",[1]All!$R372)</f>
        <v>5999</v>
      </c>
      <c r="O371" s="7" t="str">
        <f>IF([1]All!$S372=0,"",[1]All!$S372)</f>
        <v>012036687</v>
      </c>
      <c r="P371" s="7" t="str">
        <f>IF([1]All!$V372=0,"",[1]All!$V372)</f>
        <v>0000000040</v>
      </c>
      <c r="Q371" s="3" t="str">
        <f t="shared" si="35"/>
        <v>$0.40</v>
      </c>
      <c r="R371" s="8" t="str">
        <f>IF([1]All!$F372=0,"",[1]All!$F372)</f>
        <v>0462-201-16141</v>
      </c>
    </row>
    <row r="372" spans="1:18">
      <c r="A372" s="7"/>
      <c r="B372" s="3">
        <f t="shared" si="30"/>
        <v>70</v>
      </c>
      <c r="C372" s="3" t="str">
        <f t="shared" si="31"/>
        <v>F</v>
      </c>
      <c r="D372" s="9" t="str">
        <f t="shared" si="32"/>
        <v>MS25036-105</v>
      </c>
      <c r="E372" s="3" t="str">
        <f t="shared" si="33"/>
        <v>B6NJ  MS25036-105</v>
      </c>
      <c r="F372" s="10" t="str">
        <f t="shared" si="34"/>
        <v>PCCN: CRGARM:-:PLISN: B6NJ :-:PCC: TIT :-: CAGE: 81343:-:PART NUMBER: MS25036-105:-:NOMENCLATURE: TERMINAL,LUG:-:PRICE: $11.15:-:UNIQUE MODS: NO:-:PROPRIETARILY MFG FOR OEM: NO:-: :-: :-: :-:NSN: 5940001434773 :-: NHA: MIL-001-1191</v>
      </c>
      <c r="G372" s="8" t="str">
        <f>IF([1]All!$B373="","",[1]All!$B373)</f>
        <v xml:space="preserve">B6NJ </v>
      </c>
      <c r="H372" s="8"/>
      <c r="I372" s="8" t="str">
        <f>IF([1]All!$D373=0,"",[1]All!$D373)</f>
        <v>F</v>
      </c>
      <c r="J372" s="8" t="str">
        <f>IF([1]All!$E373=0,"",[1]All!$E373)</f>
        <v>81343</v>
      </c>
      <c r="K372" s="8" t="s">
        <v>402</v>
      </c>
      <c r="L372" s="11" t="str">
        <f>IF([1]All!$L373=0,"",[1]All!$L373)</f>
        <v>TERMINAL,LUG</v>
      </c>
      <c r="M372" s="7" t="str">
        <f>IF([1]All!$AJ373=0,"",[1]All!$AJ373)</f>
        <v xml:space="preserve">B5S4 </v>
      </c>
      <c r="N372" s="7" t="str">
        <f>IF([1]All!$R373=0,"",[1]All!$R373)</f>
        <v>5940</v>
      </c>
      <c r="O372" s="7" t="str">
        <f>IF([1]All!$S373=0,"",[1]All!$S373)</f>
        <v>001434773</v>
      </c>
      <c r="P372" s="7" t="str">
        <f>IF([1]All!$V373=0,"",[1]All!$V373)</f>
        <v>0000001115</v>
      </c>
      <c r="Q372" s="3" t="str">
        <f t="shared" si="35"/>
        <v>$11.15</v>
      </c>
      <c r="R372" s="8" t="str">
        <f>IF([1]All!$F373=0,"",[1]All!$F373)</f>
        <v>MS25036-105</v>
      </c>
    </row>
    <row r="373" spans="1:18">
      <c r="A373" s="7"/>
      <c r="B373" s="3">
        <f t="shared" si="30"/>
        <v>70</v>
      </c>
      <c r="C373" s="3" t="str">
        <f t="shared" si="31"/>
        <v>F</v>
      </c>
      <c r="D373" s="9" t="str">
        <f t="shared" si="32"/>
        <v>19204-0004</v>
      </c>
      <c r="E373" s="3" t="str">
        <f t="shared" si="33"/>
        <v>B6UE  19204-0004</v>
      </c>
      <c r="F373" s="10" t="str">
        <f t="shared" si="34"/>
        <v>PCCN: CRGARM:-:PLISN: B6UE :-:PCC: TIT :-: CAGE: 27264:-:PART NUMBER: 19204-0004:-:NOMENCLATURE: TERMINAL:-:PRICE: $2.75:-:UNIQUE MODS: NO:-:PROPRIETARILY MFG FOR OEM: NO:-: :-: :-: :-: :-: NHA: MIL-001-1191</v>
      </c>
      <c r="G373" s="8" t="str">
        <f>IF([1]All!$B374="","",[1]All!$B374)</f>
        <v xml:space="preserve">B6UE </v>
      </c>
      <c r="H373" s="8"/>
      <c r="I373" s="8" t="str">
        <f>IF([1]All!$D374=0,"",[1]All!$D374)</f>
        <v>F</v>
      </c>
      <c r="J373" s="8" t="str">
        <f>IF([1]All!$E374=0,"",[1]All!$E374)</f>
        <v>27264</v>
      </c>
      <c r="K373" s="8" t="s">
        <v>442</v>
      </c>
      <c r="L373" s="11" t="str">
        <f>IF([1]All!$L374=0,"",[1]All!$L374)</f>
        <v>TERMINAL</v>
      </c>
      <c r="M373" s="7" t="str">
        <f>IF([1]All!$AJ374=0,"",[1]All!$AJ374)</f>
        <v xml:space="preserve">B5S4 </v>
      </c>
      <c r="N373" s="7" t="str">
        <f>IF([1]All!$R374=0,"",[1]All!$R374)</f>
        <v/>
      </c>
      <c r="O373" s="7" t="str">
        <f>IF([1]All!$S374=0,"",[1]All!$S374)</f>
        <v/>
      </c>
      <c r="P373" s="7" t="str">
        <f>IF([1]All!$V374=0,"",[1]All!$V374)</f>
        <v>0000000275</v>
      </c>
      <c r="Q373" s="3" t="str">
        <f t="shared" si="35"/>
        <v>$2.75</v>
      </c>
      <c r="R373" s="8" t="str">
        <f>IF([1]All!$F374=0,"",[1]All!$F374)</f>
        <v>19204-0004</v>
      </c>
    </row>
    <row r="374" spans="1:18">
      <c r="A374" s="7"/>
      <c r="B374" s="3">
        <f t="shared" si="30"/>
        <v>69</v>
      </c>
      <c r="C374" s="3" t="str">
        <f t="shared" si="31"/>
        <v>E</v>
      </c>
      <c r="D374" s="9" t="str">
        <f t="shared" si="32"/>
        <v>MIL-001-1194</v>
      </c>
      <c r="E374" s="3" t="str">
        <f t="shared" si="33"/>
        <v>B60A  MIL-001-1194</v>
      </c>
      <c r="F374" s="10" t="str">
        <f t="shared" si="34"/>
        <v>PCCN: CRGARM:-:PLISN: B60A :-:PCC: TIT :-: CAGE: 0UJB5:-:PART NUMBER: MIL-001-1194:-:NOMENCLATURE: CABLE ASSEMBLY,SPEC:-:PRICE: $603.60:-:UNIQUE MODS: NO:-:PROPRIETARILY MFG FOR OEM: NO:-: :-: :-: :-: :-: NHA: MIL-001-1190</v>
      </c>
      <c r="G374" s="8" t="str">
        <f>IF([1]All!$B375="","",[1]All!$B375)</f>
        <v xml:space="preserve">B60A </v>
      </c>
      <c r="H374" s="8"/>
      <c r="I374" s="8" t="str">
        <f>IF([1]All!$D375=0,"",[1]All!$D375)</f>
        <v>E</v>
      </c>
      <c r="J374" s="8" t="str">
        <f>IF([1]All!$E375=0,"",[1]All!$E375)</f>
        <v>0UJB5</v>
      </c>
      <c r="K374" s="8" t="s">
        <v>287</v>
      </c>
      <c r="L374" s="11" t="str">
        <f>IF([1]All!$L375=0,"",[1]All!$L375)</f>
        <v>CABLE ASSEMBLY,SPEC</v>
      </c>
      <c r="M374" s="7" t="str">
        <f>IF([1]All!$AJ375=0,"",[1]All!$AJ375)</f>
        <v xml:space="preserve">BXGS </v>
      </c>
      <c r="N374" s="7" t="str">
        <f>IF([1]All!$R375=0,"",[1]All!$R375)</f>
        <v/>
      </c>
      <c r="O374" s="7" t="str">
        <f>IF([1]All!$S375=0,"",[1]All!$S375)</f>
        <v/>
      </c>
      <c r="P374" s="7" t="str">
        <f>IF([1]All!$V375=0,"",[1]All!$V375)</f>
        <v>0000060360</v>
      </c>
      <c r="Q374" s="3" t="str">
        <f t="shared" si="35"/>
        <v>$603.60</v>
      </c>
      <c r="R374" s="8" t="str">
        <f>IF([1]All!$F375=0,"",[1]All!$F375)</f>
        <v>MIL-001-1194</v>
      </c>
    </row>
    <row r="375" spans="1:18">
      <c r="A375" s="7"/>
      <c r="B375" s="3">
        <f t="shared" si="30"/>
        <v>70</v>
      </c>
      <c r="C375" s="3" t="str">
        <f t="shared" si="31"/>
        <v>F</v>
      </c>
      <c r="D375" s="9" t="str">
        <f t="shared" si="32"/>
        <v>MIL-001-1546</v>
      </c>
      <c r="E375" s="3" t="str">
        <f t="shared" si="33"/>
        <v>B656  MIL-001-1546</v>
      </c>
      <c r="F375" s="10" t="str">
        <f t="shared" si="34"/>
        <v>PCCN: CRGARM:-:PLISN: B656 :-:PCC: TIT :-: CAGE: 0UJB5:-:PART NUMBER: MIL-001-1546:-:NOMENCLATURE: WIRE,ELECTRICAL:-:PRICE: $69.83:-:UNIQUE MODS: NO:-:PROPRIETARILY MFG FOR OEM: NO:-: :-: :-: :-: :-: NHA: MIL-001-1194</v>
      </c>
      <c r="G375" s="8" t="str">
        <f>IF([1]All!$B376="","",[1]All!$B376)</f>
        <v xml:space="preserve">B656 </v>
      </c>
      <c r="H375" s="8"/>
      <c r="I375" s="8" t="str">
        <f>IF([1]All!$D376=0,"",[1]All!$D376)</f>
        <v>F</v>
      </c>
      <c r="J375" s="8" t="str">
        <f>IF([1]All!$E376=0,"",[1]All!$E376)</f>
        <v>0UJB5</v>
      </c>
      <c r="K375" s="8" t="s">
        <v>288</v>
      </c>
      <c r="L375" s="11" t="str">
        <f>IF([1]All!$L376=0,"",[1]All!$L376)</f>
        <v>WIRE,ELECTRICAL</v>
      </c>
      <c r="M375" s="7" t="str">
        <f>IF([1]All!$AJ376=0,"",[1]All!$AJ376)</f>
        <v xml:space="preserve">B60A </v>
      </c>
      <c r="N375" s="7" t="str">
        <f>IF([1]All!$R376=0,"",[1]All!$R376)</f>
        <v/>
      </c>
      <c r="O375" s="7" t="str">
        <f>IF([1]All!$S376=0,"",[1]All!$S376)</f>
        <v/>
      </c>
      <c r="P375" s="7" t="str">
        <f>IF([1]All!$V376=0,"",[1]All!$V376)</f>
        <v>0000006983</v>
      </c>
      <c r="Q375" s="3" t="str">
        <f t="shared" si="35"/>
        <v>$69.83</v>
      </c>
      <c r="R375" s="8" t="str">
        <f>IF([1]All!$F376=0,"",[1]All!$F376)</f>
        <v>MIL-001-1546</v>
      </c>
    </row>
    <row r="376" spans="1:18">
      <c r="A376" s="7"/>
      <c r="B376" s="3">
        <f t="shared" si="30"/>
        <v>70</v>
      </c>
      <c r="C376" s="3" t="str">
        <f t="shared" si="31"/>
        <v>F</v>
      </c>
      <c r="D376" s="9" t="str">
        <f t="shared" si="32"/>
        <v>MIL-001-1547</v>
      </c>
      <c r="E376" s="3" t="str">
        <f t="shared" si="33"/>
        <v>B7B2  MIL-001-1547</v>
      </c>
      <c r="F376" s="10" t="str">
        <f t="shared" si="34"/>
        <v>PCCN: CRGARM:-:PLISN: B7B2 :-:PCC: TIT :-: CAGE: 0UJB5:-:PART NUMBER: MIL-001-1547:-:NOMENCLATURE: WIRE,ELECTRICAL:-:PRICE: $69.83:-:UNIQUE MODS: NO:-:PROPRIETARILY MFG FOR OEM: NO:-: :-: :-: :-: :-: NHA: MIL-001-1194</v>
      </c>
      <c r="G376" s="8" t="str">
        <f>IF([1]All!$B377="","",[1]All!$B377)</f>
        <v xml:space="preserve">B7B2 </v>
      </c>
      <c r="H376" s="8"/>
      <c r="I376" s="8" t="str">
        <f>IF([1]All!$D377=0,"",[1]All!$D377)</f>
        <v>F</v>
      </c>
      <c r="J376" s="8" t="str">
        <f>IF([1]All!$E377=0,"",[1]All!$E377)</f>
        <v>0UJB5</v>
      </c>
      <c r="K376" s="8" t="s">
        <v>289</v>
      </c>
      <c r="L376" s="11" t="str">
        <f>IF([1]All!$L377=0,"",[1]All!$L377)</f>
        <v>WIRE,ELECTRICAL</v>
      </c>
      <c r="M376" s="7" t="str">
        <f>IF([1]All!$AJ377=0,"",[1]All!$AJ377)</f>
        <v xml:space="preserve">B60A </v>
      </c>
      <c r="N376" s="7" t="str">
        <f>IF([1]All!$R377=0,"",[1]All!$R377)</f>
        <v/>
      </c>
      <c r="O376" s="7" t="str">
        <f>IF([1]All!$S377=0,"",[1]All!$S377)</f>
        <v/>
      </c>
      <c r="P376" s="7" t="str">
        <f>IF([1]All!$V377=0,"",[1]All!$V377)</f>
        <v>0000006983</v>
      </c>
      <c r="Q376" s="3" t="str">
        <f t="shared" si="35"/>
        <v>$69.83</v>
      </c>
      <c r="R376" s="8" t="str">
        <f>IF([1]All!$F377=0,"",[1]All!$F377)</f>
        <v>MIL-001-1547</v>
      </c>
    </row>
    <row r="377" spans="1:18">
      <c r="A377" s="7"/>
      <c r="B377" s="3">
        <f t="shared" si="30"/>
        <v>70</v>
      </c>
      <c r="C377" s="3" t="str">
        <f t="shared" si="31"/>
        <v>F</v>
      </c>
      <c r="D377" s="9" t="str">
        <f t="shared" si="32"/>
        <v>7106K18</v>
      </c>
      <c r="E377" s="3" t="str">
        <f t="shared" si="33"/>
        <v>B7HY  7106K18</v>
      </c>
      <c r="F377" s="10" t="str">
        <f t="shared" si="34"/>
        <v>PCCN: CRGARM:-:PLISN: B7HY :-:PCC: TIT :-: CAGE: 39428:-:PART NUMBER: 7106K18:-:NOMENCLATURE: TERMINAL,LUG:-:PRICE: $4.42:-:UNIQUE MODS: NO:-:PROPRIETARILY MFG FOR OEM: NO:-: :-: :-: :-:NSN: 5940012487774 :-: NHA: MIL-001-1194</v>
      </c>
      <c r="G377" s="8" t="str">
        <f>IF([1]All!$B378="","",[1]All!$B378)</f>
        <v xml:space="preserve">B7HY </v>
      </c>
      <c r="H377" s="8"/>
      <c r="I377" s="8" t="str">
        <f>IF([1]All!$D378=0,"",[1]All!$D378)</f>
        <v>F</v>
      </c>
      <c r="J377" s="8" t="str">
        <f>IF([1]All!$E378=0,"",[1]All!$E378)</f>
        <v>39428</v>
      </c>
      <c r="K377" s="8" t="s">
        <v>403</v>
      </c>
      <c r="L377" s="11" t="str">
        <f>IF([1]All!$L378=0,"",[1]All!$L378)</f>
        <v>TERMINAL,LUG</v>
      </c>
      <c r="M377" s="7" t="str">
        <f>IF([1]All!$AJ378=0,"",[1]All!$AJ378)</f>
        <v xml:space="preserve">B60A </v>
      </c>
      <c r="N377" s="7" t="str">
        <f>IF([1]All!$R378=0,"",[1]All!$R378)</f>
        <v>5940</v>
      </c>
      <c r="O377" s="7" t="str">
        <f>IF([1]All!$S378=0,"",[1]All!$S378)</f>
        <v>012487774</v>
      </c>
      <c r="P377" s="7" t="str">
        <f>IF([1]All!$V378=0,"",[1]All!$V378)</f>
        <v>0000000442</v>
      </c>
      <c r="Q377" s="3" t="str">
        <f t="shared" si="35"/>
        <v>$4.42</v>
      </c>
      <c r="R377" s="8" t="str">
        <f>IF([1]All!$F378=0,"",[1]All!$F378)</f>
        <v>7106K18</v>
      </c>
    </row>
    <row r="378" spans="1:18">
      <c r="A378" s="7"/>
      <c r="B378" s="3">
        <f t="shared" si="30"/>
        <v>70</v>
      </c>
      <c r="C378" s="3" t="str">
        <f t="shared" si="31"/>
        <v>F</v>
      </c>
      <c r="D378" s="9" t="str">
        <f t="shared" si="32"/>
        <v>907-BK</v>
      </c>
      <c r="E378" s="3" t="str">
        <f t="shared" si="33"/>
        <v>B7PU  907-BK</v>
      </c>
      <c r="F378" s="10" t="str">
        <f t="shared" si="34"/>
        <v>PCCN: CRGARM:-:PLISN: B7PU :-:PCC: TIT :-: CAGE: 034K5:-:PART NUMBER: 907-BK:-:NOMENCLATURE: TERMINAL:-:PRICE: $6.59:-:UNIQUE MODS: NO:-:PROPRIETARILY MFG FOR OEM: NO:-: :-: :-: :-: :-: NHA: MIL-001-1194</v>
      </c>
      <c r="G378" s="8" t="str">
        <f>IF([1]All!$B379="","",[1]All!$B379)</f>
        <v xml:space="preserve">B7PU </v>
      </c>
      <c r="H378" s="8"/>
      <c r="I378" s="8" t="str">
        <f>IF([1]All!$D379=0,"",[1]All!$D379)</f>
        <v>F</v>
      </c>
      <c r="J378" s="8" t="str">
        <f>IF([1]All!$E379=0,"",[1]All!$E379)</f>
        <v>034K5</v>
      </c>
      <c r="K378" s="8" t="s">
        <v>153</v>
      </c>
      <c r="L378" s="11" t="str">
        <f>IF([1]All!$L379=0,"",[1]All!$L379)</f>
        <v>TERMINAL</v>
      </c>
      <c r="M378" s="7" t="str">
        <f>IF([1]All!$AJ379=0,"",[1]All!$AJ379)</f>
        <v xml:space="preserve">B60A </v>
      </c>
      <c r="N378" s="7" t="str">
        <f>IF([1]All!$R379=0,"",[1]All!$R379)</f>
        <v/>
      </c>
      <c r="O378" s="7" t="str">
        <f>IF([1]All!$S379=0,"",[1]All!$S379)</f>
        <v/>
      </c>
      <c r="P378" s="7" t="str">
        <f>IF([1]All!$V379=0,"",[1]All!$V379)</f>
        <v>0000000659</v>
      </c>
      <c r="Q378" s="3" t="str">
        <f t="shared" si="35"/>
        <v>$6.59</v>
      </c>
      <c r="R378" s="8" t="str">
        <f>IF([1]All!$F379=0,"",[1]All!$F379)</f>
        <v>907-BK</v>
      </c>
    </row>
    <row r="379" spans="1:18">
      <c r="A379" s="7"/>
      <c r="B379" s="3">
        <f t="shared" si="30"/>
        <v>70</v>
      </c>
      <c r="C379" s="3" t="str">
        <f t="shared" si="31"/>
        <v>F</v>
      </c>
      <c r="D379" s="9" t="str">
        <f t="shared" si="32"/>
        <v>P906-BK</v>
      </c>
      <c r="E379" s="3" t="str">
        <f t="shared" si="33"/>
        <v>B7VQ  P906-BK</v>
      </c>
      <c r="F379" s="10" t="str">
        <f t="shared" si="34"/>
        <v>PCCN: CRGARM:-:PLISN: B7VQ :-:PCC: TIT :-: CAGE: 034K5:-:PART NUMBER: P906-BK:-:NOMENCLATURE: CONNECTOR,PLUG,ELEC:-:PRICE: $17.02:-:UNIQUE MODS: NO:-:PROPRIETARILY MFG FOR OEM: NO:-: :-: :-: :-: :-: NHA: MIL-001-1194</v>
      </c>
      <c r="G379" s="8" t="str">
        <f>IF([1]All!$B380="","",[1]All!$B380)</f>
        <v xml:space="preserve">B7VQ </v>
      </c>
      <c r="H379" s="8"/>
      <c r="I379" s="8" t="str">
        <f>IF([1]All!$D380=0,"",[1]All!$D380)</f>
        <v>F</v>
      </c>
      <c r="J379" s="8" t="str">
        <f>IF([1]All!$E380=0,"",[1]All!$E380)</f>
        <v>034K5</v>
      </c>
      <c r="K379" s="8" t="s">
        <v>154</v>
      </c>
      <c r="L379" s="11" t="str">
        <f>IF([1]All!$L380=0,"",[1]All!$L380)</f>
        <v>CONNECTOR,PLUG,ELEC</v>
      </c>
      <c r="M379" s="7" t="str">
        <f>IF([1]All!$AJ380=0,"",[1]All!$AJ380)</f>
        <v xml:space="preserve">B60A </v>
      </c>
      <c r="N379" s="7" t="str">
        <f>IF([1]All!$R380=0,"",[1]All!$R380)</f>
        <v/>
      </c>
      <c r="O379" s="7" t="str">
        <f>IF([1]All!$S380=0,"",[1]All!$S380)</f>
        <v/>
      </c>
      <c r="P379" s="7" t="str">
        <f>IF([1]All!$V380=0,"",[1]All!$V380)</f>
        <v>0000001702</v>
      </c>
      <c r="Q379" s="3" t="str">
        <f t="shared" si="35"/>
        <v>$17.02</v>
      </c>
      <c r="R379" s="8" t="str">
        <f>IF([1]All!$F380=0,"",[1]All!$F380)</f>
        <v>P906-BK</v>
      </c>
    </row>
    <row r="380" spans="1:18">
      <c r="A380" s="7"/>
      <c r="B380" s="3">
        <f t="shared" si="30"/>
        <v>70</v>
      </c>
      <c r="C380" s="3" t="str">
        <f t="shared" si="31"/>
        <v>F</v>
      </c>
      <c r="D380" s="9" t="str">
        <f t="shared" si="32"/>
        <v>MIL-001-1548</v>
      </c>
      <c r="E380" s="3" t="str">
        <f t="shared" si="33"/>
        <v>B71L  MIL-001-1548</v>
      </c>
      <c r="F380" s="10" t="str">
        <f t="shared" si="34"/>
        <v>PCCN: CRGARM:-:PLISN: B71L :-:PCC: TIT :-: CAGE: 0UJB5:-:PART NUMBER: MIL-001-1548:-:NOMENCLATURE: CONDUIT,NONMETALLIC:-:PRICE: $3.75:-:UNIQUE MODS: NO:-:PROPRIETARILY MFG FOR OEM: NO:-: :-: :-: :-: :-: NHA: MIL-001-1194</v>
      </c>
      <c r="G380" s="8" t="str">
        <f>IF([1]All!$B381="","",[1]All!$B381)</f>
        <v xml:space="preserve">B71L </v>
      </c>
      <c r="H380" s="8"/>
      <c r="I380" s="8" t="str">
        <f>IF([1]All!$D381=0,"",[1]All!$D381)</f>
        <v>F</v>
      </c>
      <c r="J380" s="8" t="str">
        <f>IF([1]All!$E381=0,"",[1]All!$E381)</f>
        <v>0UJB5</v>
      </c>
      <c r="K380" s="8" t="s">
        <v>290</v>
      </c>
      <c r="L380" s="11" t="str">
        <f>IF([1]All!$L381=0,"",[1]All!$L381)</f>
        <v>CONDUIT,NONMETALLIC</v>
      </c>
      <c r="M380" s="7" t="str">
        <f>IF([1]All!$AJ381=0,"",[1]All!$AJ381)</f>
        <v xml:space="preserve">B60A </v>
      </c>
      <c r="N380" s="7" t="str">
        <f>IF([1]All!$R381=0,"",[1]All!$R381)</f>
        <v/>
      </c>
      <c r="O380" s="7" t="str">
        <f>IF([1]All!$S381=0,"",[1]All!$S381)</f>
        <v/>
      </c>
      <c r="P380" s="7" t="str">
        <f>IF([1]All!$V381=0,"",[1]All!$V381)</f>
        <v>0000000375</v>
      </c>
      <c r="Q380" s="3" t="str">
        <f t="shared" si="35"/>
        <v>$3.75</v>
      </c>
      <c r="R380" s="8" t="str">
        <f>IF([1]All!$F381=0,"",[1]All!$F381)</f>
        <v>MIL-001-1548</v>
      </c>
    </row>
    <row r="381" spans="1:18">
      <c r="A381" s="7"/>
      <c r="B381" s="3">
        <f t="shared" si="30"/>
        <v>70</v>
      </c>
      <c r="C381" s="3" t="str">
        <f t="shared" si="31"/>
        <v>F</v>
      </c>
      <c r="D381" s="9" t="str">
        <f t="shared" si="32"/>
        <v>18693</v>
      </c>
      <c r="E381" s="3" t="str">
        <f t="shared" si="33"/>
        <v>B77G  18693</v>
      </c>
      <c r="F381" s="10" t="str">
        <f t="shared" si="34"/>
        <v>PCCN: CRGARM:-:PLISN: B77G :-:PCC: TIT :-: CAGE: 0PVE5:-:PART NUMBER: 18693:-:NOMENCLATURE: HEAT SHRINK SLEEVE:-:PRICE: $5.00:-:UNIQUE MODS: NO:-:PROPRIETARILY MFG FOR OEM: NO:-: :-: :-: :-: :-: NHA: MIL-001-1194</v>
      </c>
      <c r="G381" s="8" t="str">
        <f>IF([1]All!$B382="","",[1]All!$B382)</f>
        <v xml:space="preserve">B77G </v>
      </c>
      <c r="H381" s="8"/>
      <c r="I381" s="8" t="str">
        <f>IF([1]All!$D382=0,"",[1]All!$D382)</f>
        <v>F</v>
      </c>
      <c r="J381" s="8" t="str">
        <f>IF([1]All!$E382=0,"",[1]All!$E382)</f>
        <v>0PVE5</v>
      </c>
      <c r="K381" s="8" t="s">
        <v>435</v>
      </c>
      <c r="L381" s="11" t="str">
        <f>IF([1]All!$L382=0,"",[1]All!$L382)</f>
        <v>HEAT SHRINK SLEEVE</v>
      </c>
      <c r="M381" s="7" t="str">
        <f>IF([1]All!$AJ382=0,"",[1]All!$AJ382)</f>
        <v xml:space="preserve">B60A </v>
      </c>
      <c r="N381" s="7" t="str">
        <f>IF([1]All!$R382=0,"",[1]All!$R382)</f>
        <v/>
      </c>
      <c r="O381" s="7" t="str">
        <f>IF([1]All!$S382=0,"",[1]All!$S382)</f>
        <v/>
      </c>
      <c r="P381" s="7" t="str">
        <f>IF([1]All!$V382=0,"",[1]All!$V382)</f>
        <v>0000000500</v>
      </c>
      <c r="Q381" s="3" t="str">
        <f t="shared" si="35"/>
        <v>$5.00</v>
      </c>
      <c r="R381" s="8" t="str">
        <f>IF([1]All!$F382=0,"",[1]All!$F382)</f>
        <v>18693</v>
      </c>
    </row>
    <row r="382" spans="1:18">
      <c r="A382" s="7"/>
      <c r="B382" s="3">
        <f t="shared" si="30"/>
        <v>70</v>
      </c>
      <c r="C382" s="3" t="str">
        <f t="shared" si="31"/>
        <v>F</v>
      </c>
      <c r="D382" s="9" t="str">
        <f t="shared" si="32"/>
        <v>18694</v>
      </c>
      <c r="E382" s="3" t="str">
        <f t="shared" si="33"/>
        <v>B8DC  18694</v>
      </c>
      <c r="F382" s="10" t="str">
        <f t="shared" si="34"/>
        <v>PCCN: CRGARM:-:PLISN: B8DC :-:PCC: TIT :-: CAGE: 0PVE5:-:PART NUMBER: 18694:-:NOMENCLATURE: HEAT SHRINK SLEEVE:-:PRICE: $10.00:-:UNIQUE MODS: NO:-:PROPRIETARILY MFG FOR OEM: NO:-: :-: :-: :-: :-: NHA: MIL-001-1194</v>
      </c>
      <c r="G382" s="8" t="str">
        <f>IF([1]All!$B383="","",[1]All!$B383)</f>
        <v xml:space="preserve">B8DC </v>
      </c>
      <c r="H382" s="8"/>
      <c r="I382" s="8" t="str">
        <f>IF([1]All!$D383=0,"",[1]All!$D383)</f>
        <v>F</v>
      </c>
      <c r="J382" s="8" t="str">
        <f>IF([1]All!$E383=0,"",[1]All!$E383)</f>
        <v>0PVE5</v>
      </c>
      <c r="K382" s="8" t="s">
        <v>434</v>
      </c>
      <c r="L382" s="11" t="str">
        <f>IF([1]All!$L383=0,"",[1]All!$L383)</f>
        <v>HEAT SHRINK SLEEVE</v>
      </c>
      <c r="M382" s="7" t="str">
        <f>IF([1]All!$AJ383=0,"",[1]All!$AJ383)</f>
        <v xml:space="preserve">B60A </v>
      </c>
      <c r="N382" s="7" t="str">
        <f>IF([1]All!$R383=0,"",[1]All!$R383)</f>
        <v/>
      </c>
      <c r="O382" s="7" t="str">
        <f>IF([1]All!$S383=0,"",[1]All!$S383)</f>
        <v/>
      </c>
      <c r="P382" s="7" t="str">
        <f>IF([1]All!$V383=0,"",[1]All!$V383)</f>
        <v>0000001000</v>
      </c>
      <c r="Q382" s="3" t="str">
        <f t="shared" si="35"/>
        <v>$10.00</v>
      </c>
      <c r="R382" s="8" t="str">
        <f>IF([1]All!$F383=0,"",[1]All!$F383)</f>
        <v>18694</v>
      </c>
    </row>
    <row r="383" spans="1:18">
      <c r="A383" s="7"/>
      <c r="B383" s="3">
        <f t="shared" si="30"/>
        <v>68</v>
      </c>
      <c r="C383" s="3" t="str">
        <f t="shared" si="31"/>
        <v>D</v>
      </c>
      <c r="D383" s="9" t="str">
        <f t="shared" si="32"/>
        <v>MIL-001-1573</v>
      </c>
      <c r="E383" s="3" t="str">
        <f t="shared" si="33"/>
        <v>B8J8  MIL-001-1573</v>
      </c>
      <c r="F383" s="10" t="str">
        <f t="shared" si="34"/>
        <v>PCCN: CRGARM:-:PLISN: B8J8 :-:PCC: TIT :-: CAGE: 0UJB5:-:PART NUMBER: MIL-001-1573:-:NOMENCLATURE: COVER,ELECTRIC FAN:-:PRICE: $1750.00:-:UNIQUE MODS: NO:-:PROPRIETARILY MFG FOR OEM: NO:-: :-: :-: :-: :-: NHA: MIL-001-1185</v>
      </c>
      <c r="G383" s="8" t="str">
        <f>IF([1]All!$B384="","",[1]All!$B384)</f>
        <v xml:space="preserve">B8J8 </v>
      </c>
      <c r="H383" s="8"/>
      <c r="I383" s="8" t="str">
        <f>IF([1]All!$D384=0,"",[1]All!$D384)</f>
        <v>D</v>
      </c>
      <c r="J383" s="8" t="str">
        <f>IF([1]All!$E384=0,"",[1]All!$E384)</f>
        <v>0UJB5</v>
      </c>
      <c r="K383" s="8" t="s">
        <v>406</v>
      </c>
      <c r="L383" s="11" t="str">
        <f>IF([1]All!$L384=0,"",[1]All!$L384)</f>
        <v>COVER,ELECTRIC FAN</v>
      </c>
      <c r="M383" s="7" t="str">
        <f>IF([1]All!$AJ384=0,"",[1]All!$AJ384)</f>
        <v xml:space="preserve">BXAW </v>
      </c>
      <c r="N383" s="7" t="str">
        <f>IF([1]All!$R384=0,"",[1]All!$R384)</f>
        <v/>
      </c>
      <c r="O383" s="7" t="str">
        <f>IF([1]All!$S384=0,"",[1]All!$S384)</f>
        <v/>
      </c>
      <c r="P383" s="7" t="str">
        <f>IF([1]All!$V384=0,"",[1]All!$V384)</f>
        <v>0000175000</v>
      </c>
      <c r="Q383" s="3" t="str">
        <f t="shared" si="35"/>
        <v>$1750.00</v>
      </c>
      <c r="R383" s="8" t="str">
        <f>IF([1]All!$F384=0,"",[1]All!$F384)</f>
        <v>MIL-001-1573</v>
      </c>
    </row>
    <row r="384" spans="1:18">
      <c r="A384" s="7"/>
      <c r="B384" s="3">
        <f t="shared" si="30"/>
        <v>69</v>
      </c>
      <c r="C384" s="3" t="str">
        <f t="shared" si="31"/>
        <v>E</v>
      </c>
      <c r="D384" s="9" t="str">
        <f t="shared" si="32"/>
        <v>MIL-001-1362</v>
      </c>
      <c r="E384" s="3" t="str">
        <f t="shared" si="33"/>
        <v>B8Q4  MIL-001-1362</v>
      </c>
      <c r="F384" s="10" t="str">
        <f t="shared" si="34"/>
        <v>PCCN: CRGARM:-:PLISN: B8Q4 :-:PCC: TIT :-: CAGE: 0UJB5:-:PART NUMBER: MIL-001-1362:-:NOMENCLATURE: COVER:-:PRICE: $900.00:-:UNIQUE MODS: NO:-:PROPRIETARILY MFG FOR OEM: NO:-: :-: :-: :-: :-: NHA: MIL-001-1573</v>
      </c>
      <c r="G384" s="8" t="str">
        <f>IF([1]All!$B385="","",[1]All!$B385)</f>
        <v xml:space="preserve">B8Q4 </v>
      </c>
      <c r="H384" s="8"/>
      <c r="I384" s="8" t="str">
        <f>IF([1]All!$D385=0,"",[1]All!$D385)</f>
        <v>E</v>
      </c>
      <c r="J384" s="8" t="str">
        <f>IF([1]All!$E385=0,"",[1]All!$E385)</f>
        <v>0UJB5</v>
      </c>
      <c r="K384" s="8" t="s">
        <v>291</v>
      </c>
      <c r="L384" s="11" t="str">
        <f>IF([1]All!$L385=0,"",[1]All!$L385)</f>
        <v>COVER</v>
      </c>
      <c r="M384" s="7" t="str">
        <f>IF([1]All!$AJ385=0,"",[1]All!$AJ385)</f>
        <v xml:space="preserve">B8J8 </v>
      </c>
      <c r="N384" s="7" t="str">
        <f>IF([1]All!$R385=0,"",[1]All!$R385)</f>
        <v/>
      </c>
      <c r="O384" s="7" t="str">
        <f>IF([1]All!$S385=0,"",[1]All!$S385)</f>
        <v/>
      </c>
      <c r="P384" s="7" t="str">
        <f>IF([1]All!$V385=0,"",[1]All!$V385)</f>
        <v>0000090000</v>
      </c>
      <c r="Q384" s="3" t="str">
        <f t="shared" si="35"/>
        <v>$900.00</v>
      </c>
      <c r="R384" s="8" t="str">
        <f>IF([1]All!$F385=0,"",[1]All!$F385)</f>
        <v>MIL-001-1362</v>
      </c>
    </row>
    <row r="385" spans="1:18">
      <c r="A385" s="7"/>
      <c r="B385" s="3">
        <f t="shared" si="30"/>
        <v>69</v>
      </c>
      <c r="C385" s="3" t="str">
        <f t="shared" si="31"/>
        <v>E</v>
      </c>
      <c r="D385" s="9" t="str">
        <f t="shared" si="32"/>
        <v>MIL-001-1363</v>
      </c>
      <c r="E385" s="3" t="str">
        <f t="shared" si="33"/>
        <v>B8W0  MIL-001-1363</v>
      </c>
      <c r="F385" s="10" t="str">
        <f t="shared" si="34"/>
        <v>PCCN: CRGARM:-:PLISN: B8W0 :-:PCC: TIT :-: CAGE: 0UJB5:-:PART NUMBER: MIL-001-1363:-:NOMENCLATURE: COVER:-:PRICE: $925.00:-:UNIQUE MODS: NO:-:PROPRIETARILY MFG FOR OEM: NO:-: :-: :-: :-: :-: NHA: MIL-001-1573</v>
      </c>
      <c r="G385" s="8" t="str">
        <f>IF([1]All!$B386="","",[1]All!$B386)</f>
        <v xml:space="preserve">B8W0 </v>
      </c>
      <c r="H385" s="8"/>
      <c r="I385" s="8" t="str">
        <f>IF([1]All!$D386=0,"",[1]All!$D386)</f>
        <v>E</v>
      </c>
      <c r="J385" s="8" t="str">
        <f>IF([1]All!$E386=0,"",[1]All!$E386)</f>
        <v>0UJB5</v>
      </c>
      <c r="K385" s="8" t="s">
        <v>292</v>
      </c>
      <c r="L385" s="11" t="str">
        <f>IF([1]All!$L386=0,"",[1]All!$L386)</f>
        <v>COVER</v>
      </c>
      <c r="M385" s="7" t="str">
        <f>IF([1]All!$AJ386=0,"",[1]All!$AJ386)</f>
        <v xml:space="preserve">B8J8 </v>
      </c>
      <c r="N385" s="7" t="str">
        <f>IF([1]All!$R386=0,"",[1]All!$R386)</f>
        <v/>
      </c>
      <c r="O385" s="7" t="str">
        <f>IF([1]All!$S386=0,"",[1]All!$S386)</f>
        <v/>
      </c>
      <c r="P385" s="7" t="str">
        <f>IF([1]All!$V386=0,"",[1]All!$V386)</f>
        <v>0000092500</v>
      </c>
      <c r="Q385" s="3" t="str">
        <f t="shared" si="35"/>
        <v>$925.00</v>
      </c>
      <c r="R385" s="8" t="str">
        <f>IF([1]All!$F386=0,"",[1]All!$F386)</f>
        <v>MIL-001-1363</v>
      </c>
    </row>
    <row r="386" spans="1:18">
      <c r="A386" s="7"/>
      <c r="B386" s="3">
        <f t="shared" ref="B386:B449" si="36">IF(C386="","",CODE(C386))</f>
        <v>69</v>
      </c>
      <c r="C386" s="3" t="str">
        <f t="shared" si="31"/>
        <v>E</v>
      </c>
      <c r="D386" s="9" t="str">
        <f t="shared" si="32"/>
        <v>VA14-BP7 C-34A</v>
      </c>
      <c r="E386" s="3" t="str">
        <f t="shared" si="33"/>
        <v>B82W  VA14-BP7 C-34A</v>
      </c>
      <c r="F386" s="10" t="str">
        <f t="shared" si="34"/>
        <v>PCCN: CRGARM:-:PLISN: B82W :-:PCC: TIT :-: CAGE: 4Z4S7:-:PART NUMBER: VA14-BP7/C-34A:-:NOMENCLATURE: FAN,CIRCULATING:-:PRICE: $72.45:-:UNIQUE MODS: NO:-:PROPRIETARILY MFG FOR OEM: NO:-: :-: :-: :-: :-: NHA: MIL-001-1573</v>
      </c>
      <c r="G386" s="8" t="str">
        <f>IF([1]All!$B387="","",[1]All!$B387)</f>
        <v xml:space="preserve">B82W </v>
      </c>
      <c r="H386" s="8"/>
      <c r="I386" s="8" t="str">
        <f>IF([1]All!$D387=0,"",[1]All!$D387)</f>
        <v>E</v>
      </c>
      <c r="J386" s="8" t="str">
        <f>IF([1]All!$E387=0,"",[1]All!$E387)</f>
        <v>4Z4S7</v>
      </c>
      <c r="K386" s="8" t="s">
        <v>448</v>
      </c>
      <c r="L386" s="11" t="str">
        <f>IF([1]All!$L387=0,"",[1]All!$L387)</f>
        <v>FAN,CIRCULATING</v>
      </c>
      <c r="M386" s="7" t="str">
        <f>IF([1]All!$AJ387=0,"",[1]All!$AJ387)</f>
        <v xml:space="preserve">B8J8 </v>
      </c>
      <c r="N386" s="7" t="str">
        <f>IF([1]All!$R387=0,"",[1]All!$R387)</f>
        <v/>
      </c>
      <c r="O386" s="7" t="str">
        <f>IF([1]All!$S387=0,"",[1]All!$S387)</f>
        <v/>
      </c>
      <c r="P386" s="7" t="str">
        <f>IF([1]All!$V387=0,"",[1]All!$V387)</f>
        <v>0000007245</v>
      </c>
      <c r="Q386" s="3" t="str">
        <f t="shared" si="35"/>
        <v>$72.45</v>
      </c>
      <c r="R386" s="8" t="str">
        <f>IF([1]All!$F387=0,"",[1]All!$F387)</f>
        <v>VA14-BP7/C-34A</v>
      </c>
    </row>
    <row r="387" spans="1:18">
      <c r="A387" s="7"/>
      <c r="B387" s="3">
        <f t="shared" si="36"/>
        <v>69</v>
      </c>
      <c r="C387" s="3" t="str">
        <f t="shared" ref="C387:C450" si="37">I387</f>
        <v>E</v>
      </c>
      <c r="D387" s="9" t="str">
        <f t="shared" ref="D387:D450" si="38">K387</f>
        <v>33-2287</v>
      </c>
      <c r="E387" s="3" t="str">
        <f t="shared" ref="E387:E450" si="39">G387&amp;" "&amp;D387</f>
        <v>B88S  33-2287</v>
      </c>
      <c r="F387" s="10" t="str">
        <f t="shared" ref="F387:F450" si="40">$A$2&amp;":-:"&amp;"PLISN: "&amp;$G387&amp;":-:"&amp;$A$4&amp;" :-: "&amp;"CAGE: "&amp;J387&amp;":-:"&amp;"PART NUMBER: " &amp; R387&amp;":-:NOMENCLATURE: "&amp;L387&amp;":-:PRICE: " &amp; Q387&amp;":-:"&amp;$A$9&amp;":-:"&amp;$A$10&amp;":-: :-: :-: :-:"&amp;IF(N387="","","NSN: "&amp;N387&amp;O387)&amp;IF(M387="",""," :-: NHA: "&amp;VLOOKUP(M387,G$2:L$65000,5,FALSE)&amp;IF(VLOOKUP(M387,G$2:O$65000,8,FALSE)="",""," :-: NHA NSN: "&amp;VLOOKUP(M387,G$2:O$65000,8,FALSE)&amp;VLOOKUP(M387,G$2:O$65000,9,FALSE)))</f>
        <v>PCCN: CRGARM:-:PLISN: B88S :-:PCC: TIT :-: CAGE: 0N0N0:-:PART NUMBER: 33-2287:-:NOMENCLATURE: FILTER ELEMENT,AIR :-:PRICE: $58.95:-:UNIQUE MODS: NO:-:PROPRIETARILY MFG FOR OEM: NO:-: :-: :-: :-:NSN: 4130016005359 :-: NHA: MIL-001-1573</v>
      </c>
      <c r="G387" s="8" t="str">
        <f>IF([1]All!$B388="","",[1]All!$B388)</f>
        <v xml:space="preserve">B88S </v>
      </c>
      <c r="H387" s="8"/>
      <c r="I387" s="8" t="str">
        <f>IF([1]All!$D388=0,"",[1]All!$D388)</f>
        <v>E</v>
      </c>
      <c r="J387" s="8" t="str">
        <f>IF([1]All!$E388=0,"",[1]All!$E388)</f>
        <v>0N0N0</v>
      </c>
      <c r="K387" s="8" t="s">
        <v>293</v>
      </c>
      <c r="L387" s="11" t="str">
        <f>IF([1]All!$L388=0,"",[1]All!$L388)</f>
        <v xml:space="preserve">FILTER ELEMENT,AIR </v>
      </c>
      <c r="M387" s="7" t="str">
        <f>IF([1]All!$AJ388=0,"",[1]All!$AJ388)</f>
        <v xml:space="preserve">B8J8 </v>
      </c>
      <c r="N387" s="7" t="str">
        <f>IF([1]All!$R388=0,"",[1]All!$R388)</f>
        <v>4130</v>
      </c>
      <c r="O387" s="7" t="str">
        <f>IF([1]All!$S388=0,"",[1]All!$S388)</f>
        <v>016005359</v>
      </c>
      <c r="P387" s="7" t="str">
        <f>IF([1]All!$V388=0,"",[1]All!$V388)</f>
        <v>0000005895</v>
      </c>
      <c r="Q387" s="3" t="str">
        <f t="shared" ref="Q387:Q450" si="41">IF(ISERROR(FIND(".",P387*0.01)),"$"&amp;P387*0.01&amp;".00",IF(FIND(".",P387*0.01)&lt;LEN(P387*0.01)-1,"$"&amp;P387*0.01,"$"&amp;P387*0.01&amp;"0"))</f>
        <v>$58.95</v>
      </c>
      <c r="R387" s="8" t="str">
        <f>IF([1]All!$F388=0,"",[1]All!$F388)</f>
        <v>33-2287</v>
      </c>
    </row>
    <row r="388" spans="1:18">
      <c r="A388" s="7"/>
      <c r="B388" s="3">
        <f t="shared" si="36"/>
        <v>69</v>
      </c>
      <c r="C388" s="3" t="str">
        <f t="shared" si="37"/>
        <v>E</v>
      </c>
      <c r="D388" s="9" t="str">
        <f t="shared" si="38"/>
        <v>MIL-001-250</v>
      </c>
      <c r="E388" s="3" t="str">
        <f t="shared" si="39"/>
        <v>B9EN  MIL-001-250</v>
      </c>
      <c r="F388" s="10" t="str">
        <f t="shared" si="40"/>
        <v>PCCN: CRGARM:-:PLISN: B9EN :-:PCC: TIT :-: CAGE: 0UJB5:-:PART NUMBER: MIL-001-250:-:NOMENCLATURE: BOLT,MACHINE:-:PRICE: $0.22:-:UNIQUE MODS: NO:-:PROPRIETARILY MFG FOR OEM: NO:-: :-: :-: :-:NSN: 5306015742072 :-: NHA: MIL-001-1573</v>
      </c>
      <c r="G388" s="8" t="str">
        <f>IF([1]All!$B389="","",[1]All!$B389)</f>
        <v xml:space="preserve">B9EN </v>
      </c>
      <c r="H388" s="8"/>
      <c r="I388" s="8" t="str">
        <f>IF([1]All!$D389=0,"",[1]All!$D389)</f>
        <v>E</v>
      </c>
      <c r="J388" s="8" t="str">
        <f>IF([1]All!$E389=0,"",[1]All!$E389)</f>
        <v>0UJB5</v>
      </c>
      <c r="K388" s="8" t="s">
        <v>268</v>
      </c>
      <c r="L388" s="11" t="str">
        <f>IF([1]All!$L389=0,"",[1]All!$L389)</f>
        <v>BOLT,MACHINE</v>
      </c>
      <c r="M388" s="7" t="str">
        <f>IF([1]All!$AJ389=0,"",[1]All!$AJ389)</f>
        <v xml:space="preserve">B8J8 </v>
      </c>
      <c r="N388" s="7" t="str">
        <f>IF([1]All!$R389=0,"",[1]All!$R389)</f>
        <v>5306</v>
      </c>
      <c r="O388" s="7" t="str">
        <f>IF([1]All!$S389=0,"",[1]All!$S389)</f>
        <v>015742072</v>
      </c>
      <c r="P388" s="7" t="str">
        <f>IF([1]All!$V389=0,"",[1]All!$V389)</f>
        <v>0000000022</v>
      </c>
      <c r="Q388" s="3" t="str">
        <f t="shared" si="41"/>
        <v>$0.22</v>
      </c>
      <c r="R388" s="8" t="str">
        <f>IF([1]All!$F389=0,"",[1]All!$F389)</f>
        <v>MIL-001-250</v>
      </c>
    </row>
    <row r="389" spans="1:18">
      <c r="A389" s="7"/>
      <c r="B389" s="3">
        <f t="shared" si="36"/>
        <v>69</v>
      </c>
      <c r="C389" s="3" t="str">
        <f t="shared" si="37"/>
        <v>E</v>
      </c>
      <c r="D389" s="9" t="str">
        <f t="shared" si="38"/>
        <v>NASM51959-83</v>
      </c>
      <c r="E389" s="3" t="str">
        <f t="shared" si="39"/>
        <v>B9LJ  NASM51959-83</v>
      </c>
      <c r="F389" s="10" t="str">
        <f t="shared" si="40"/>
        <v>PCCN: CRGARM:-:PLISN: B9LJ :-:PCC: TIT :-: CAGE: 80205:-:PART NUMBER: NASM51959-83:-:NOMENCLATURE: SCREW,MACHINE:-:PRICE: $0.64:-:UNIQUE MODS: NO:-:PROPRIETARILY MFG FOR OEM: NO:-: :-: :-: :-:NSN: 5305012044186 :-: NHA: MIL-001-1573</v>
      </c>
      <c r="G389" s="8" t="str">
        <f>IF([1]All!$B390="","",[1]All!$B390)</f>
        <v xml:space="preserve">B9LJ </v>
      </c>
      <c r="H389" s="8"/>
      <c r="I389" s="8" t="str">
        <f>IF([1]All!$D390=0,"",[1]All!$D390)</f>
        <v>E</v>
      </c>
      <c r="J389" s="8" t="str">
        <f>IF([1]All!$E390=0,"",[1]All!$E390)</f>
        <v>80205</v>
      </c>
      <c r="K389" s="8" t="s">
        <v>294</v>
      </c>
      <c r="L389" s="11" t="str">
        <f>IF([1]All!$L390=0,"",[1]All!$L390)</f>
        <v>SCREW,MACHINE</v>
      </c>
      <c r="M389" s="7" t="str">
        <f>IF([1]All!$AJ390=0,"",[1]All!$AJ390)</f>
        <v xml:space="preserve">B8J8 </v>
      </c>
      <c r="N389" s="7" t="str">
        <f>IF([1]All!$R390=0,"",[1]All!$R390)</f>
        <v>5305</v>
      </c>
      <c r="O389" s="7" t="str">
        <f>IF([1]All!$S390=0,"",[1]All!$S390)</f>
        <v>012044186</v>
      </c>
      <c r="P389" s="7" t="str">
        <f>IF([1]All!$V390=0,"",[1]All!$V390)</f>
        <v>0000000064</v>
      </c>
      <c r="Q389" s="3" t="str">
        <f t="shared" si="41"/>
        <v>$0.64</v>
      </c>
      <c r="R389" s="8" t="str">
        <f>IF([1]All!$F390=0,"",[1]All!$F390)</f>
        <v>NASM51959-83</v>
      </c>
    </row>
    <row r="390" spans="1:18">
      <c r="A390" s="7"/>
      <c r="B390" s="3">
        <f t="shared" si="36"/>
        <v>69</v>
      </c>
      <c r="C390" s="3" t="str">
        <f t="shared" si="37"/>
        <v>E</v>
      </c>
      <c r="D390" s="9" t="str">
        <f t="shared" si="38"/>
        <v>MIL-001-258</v>
      </c>
      <c r="E390" s="3" t="str">
        <f t="shared" si="39"/>
        <v>B9SE  MIL-001-258</v>
      </c>
      <c r="F390" s="10" t="str">
        <f t="shared" si="40"/>
        <v>PCCN: CRGARM:-:PLISN: B9SE :-:PCC: TIT :-: CAGE: 0UJB5:-:PART NUMBER: MIL-001-258:-:NOMENCLATURE: NUT,PLAIN,HEXAGON:-:PRICE: $0.21:-:UNIQUE MODS: NO:-:PROPRIETARILY MFG FOR OEM: NO:-: :-: :-: :-:NSN: 5310015738790 :-: NHA: MIL-001-1573</v>
      </c>
      <c r="G390" s="8" t="str">
        <f>IF([1]All!$B391="","",[1]All!$B391)</f>
        <v xml:space="preserve">B9SE </v>
      </c>
      <c r="H390" s="8"/>
      <c r="I390" s="8" t="str">
        <f>IF([1]All!$D391=0,"",[1]All!$D391)</f>
        <v>E</v>
      </c>
      <c r="J390" s="8" t="str">
        <f>IF([1]All!$E391=0,"",[1]All!$E391)</f>
        <v>0UJB5</v>
      </c>
      <c r="K390" s="8" t="s">
        <v>227</v>
      </c>
      <c r="L390" s="11" t="str">
        <f>IF([1]All!$L391=0,"",[1]All!$L391)</f>
        <v>NUT,PLAIN,HEXAGON</v>
      </c>
      <c r="M390" s="7" t="str">
        <f>IF([1]All!$AJ391=0,"",[1]All!$AJ391)</f>
        <v xml:space="preserve">B8J8 </v>
      </c>
      <c r="N390" s="7" t="str">
        <f>IF([1]All!$R391=0,"",[1]All!$R391)</f>
        <v>5310</v>
      </c>
      <c r="O390" s="7" t="str">
        <f>IF([1]All!$S391=0,"",[1]All!$S391)</f>
        <v>015738790</v>
      </c>
      <c r="P390" s="7" t="str">
        <f>IF([1]All!$V391=0,"",[1]All!$V391)</f>
        <v>0000000021</v>
      </c>
      <c r="Q390" s="3" t="str">
        <f t="shared" si="41"/>
        <v>$0.21</v>
      </c>
      <c r="R390" s="8" t="str">
        <f>IF([1]All!$F391=0,"",[1]All!$F391)</f>
        <v>MIL-001-258</v>
      </c>
    </row>
    <row r="391" spans="1:18">
      <c r="A391" s="7"/>
      <c r="B391" s="3">
        <f t="shared" si="36"/>
        <v>69</v>
      </c>
      <c r="C391" s="3" t="str">
        <f t="shared" si="37"/>
        <v>E</v>
      </c>
      <c r="D391" s="9" t="str">
        <f t="shared" si="38"/>
        <v>MIL-001-259</v>
      </c>
      <c r="E391" s="3" t="str">
        <f t="shared" si="39"/>
        <v>B9YA  MIL-001-259</v>
      </c>
      <c r="F391" s="10" t="str">
        <f t="shared" si="40"/>
        <v>PCCN: CRGARM:-:PLISN: B9YA :-:PCC: TIT :-: CAGE: 0UJB5:-:PART NUMBER: MIL-001-259:-:NOMENCLATURE: WASHER,FLAT:-:PRICE: $0.23:-:UNIQUE MODS: NO:-:PROPRIETARILY MFG FOR OEM: NO:-: :-: :-: :-:NSN: 5310015738789 :-: NHA: MIL-001-1573</v>
      </c>
      <c r="G391" s="8" t="str">
        <f>IF([1]All!$B392="","",[1]All!$B392)</f>
        <v xml:space="preserve">B9YA </v>
      </c>
      <c r="H391" s="8"/>
      <c r="I391" s="8" t="str">
        <f>IF([1]All!$D392=0,"",[1]All!$D392)</f>
        <v>E</v>
      </c>
      <c r="J391" s="8" t="str">
        <f>IF([1]All!$E392=0,"",[1]All!$E392)</f>
        <v>0UJB5</v>
      </c>
      <c r="K391" s="8" t="s">
        <v>228</v>
      </c>
      <c r="L391" s="11" t="str">
        <f>IF([1]All!$L392=0,"",[1]All!$L392)</f>
        <v>WASHER,FLAT</v>
      </c>
      <c r="M391" s="7" t="str">
        <f>IF([1]All!$AJ392=0,"",[1]All!$AJ392)</f>
        <v xml:space="preserve">B8J8 </v>
      </c>
      <c r="N391" s="7" t="str">
        <f>IF([1]All!$R392=0,"",[1]All!$R392)</f>
        <v>5310</v>
      </c>
      <c r="O391" s="7" t="str">
        <f>IF([1]All!$S392=0,"",[1]All!$S392)</f>
        <v>015738789</v>
      </c>
      <c r="P391" s="7" t="str">
        <f>IF([1]All!$V392=0,"",[1]All!$V392)</f>
        <v>0000000023</v>
      </c>
      <c r="Q391" s="3" t="str">
        <f t="shared" si="41"/>
        <v>$0.23</v>
      </c>
      <c r="R391" s="8" t="str">
        <f>IF([1]All!$F392=0,"",[1]All!$F392)</f>
        <v>MIL-001-259</v>
      </c>
    </row>
    <row r="392" spans="1:18">
      <c r="A392" s="7"/>
      <c r="B392" s="3">
        <f t="shared" si="36"/>
        <v>69</v>
      </c>
      <c r="C392" s="3" t="str">
        <f t="shared" si="37"/>
        <v>E</v>
      </c>
      <c r="D392" s="9" t="str">
        <f t="shared" si="38"/>
        <v>90108A413</v>
      </c>
      <c r="E392" s="3" t="str">
        <f t="shared" si="39"/>
        <v>B936  90108A413</v>
      </c>
      <c r="F392" s="10" t="str">
        <f t="shared" si="40"/>
        <v>PCCN: CRGARM:-:PLISN: B936 :-:PCC: TIT :-: CAGE: 39428:-:PART NUMBER: 90108A413:-:NOMENCLATURE: WASHER,FLAT:-:PRICE: $0.05:-:UNIQUE MODS: NO:-:PROPRIETARILY MFG FOR OEM: NO:-: :-: :-: :-:NSN: 5310015316758 :-: NHA: MIL-001-1573</v>
      </c>
      <c r="G392" s="8" t="str">
        <f>IF([1]All!$B393="","",[1]All!$B393)</f>
        <v xml:space="preserve">B936 </v>
      </c>
      <c r="H392" s="8"/>
      <c r="I392" s="8" t="str">
        <f>IF([1]All!$D393=0,"",[1]All!$D393)</f>
        <v>E</v>
      </c>
      <c r="J392" s="8" t="str">
        <f>IF([1]All!$E393=0,"",[1]All!$E393)</f>
        <v>39428</v>
      </c>
      <c r="K392" s="8" t="s">
        <v>295</v>
      </c>
      <c r="L392" s="11" t="str">
        <f>IF([1]All!$L393=0,"",[1]All!$L393)</f>
        <v>WASHER,FLAT</v>
      </c>
      <c r="M392" s="7" t="str">
        <f>IF([1]All!$AJ393=0,"",[1]All!$AJ393)</f>
        <v xml:space="preserve">B8J8 </v>
      </c>
      <c r="N392" s="7" t="str">
        <f>IF([1]All!$R393=0,"",[1]All!$R393)</f>
        <v>5310</v>
      </c>
      <c r="O392" s="7" t="str">
        <f>IF([1]All!$S393=0,"",[1]All!$S393)</f>
        <v>015316758</v>
      </c>
      <c r="P392" s="7" t="str">
        <f>IF([1]All!$V393=0,"",[1]All!$V393)</f>
        <v>0000000005</v>
      </c>
      <c r="Q392" s="3" t="str">
        <f t="shared" si="41"/>
        <v>$0.05</v>
      </c>
      <c r="R392" s="8" t="str">
        <f>IF([1]All!$F393=0,"",[1]All!$F393)</f>
        <v>90108A413</v>
      </c>
    </row>
    <row r="393" spans="1:18">
      <c r="A393" s="7"/>
      <c r="B393" s="3">
        <f t="shared" si="36"/>
        <v>69</v>
      </c>
      <c r="C393" s="3" t="str">
        <f t="shared" si="37"/>
        <v>E</v>
      </c>
      <c r="D393" s="9" t="str">
        <f t="shared" si="38"/>
        <v>91102A750</v>
      </c>
      <c r="E393" s="3" t="str">
        <f t="shared" si="39"/>
        <v>B992  91102A750</v>
      </c>
      <c r="F393" s="10" t="str">
        <f t="shared" si="40"/>
        <v>PCCN: CRGARM:-:PLISN: B992 :-:PCC: TIT :-: CAGE: 3A054:-:PART NUMBER: 91102A750:-:NOMENCLATURE: WASHER,LOCK:-:PRICE: $0.19:-:UNIQUE MODS: NO:-:PROPRIETARILY MFG FOR OEM: NO:-: :-: :-: :-:NSN: 5310016112340 :-: NHA: MIL-001-1573</v>
      </c>
      <c r="G393" s="8" t="str">
        <f>IF([1]All!$B394="","",[1]All!$B394)</f>
        <v xml:space="preserve">B992 </v>
      </c>
      <c r="H393" s="8"/>
      <c r="I393" s="8" t="str">
        <f>IF([1]All!$D394=0,"",[1]All!$D394)</f>
        <v>E</v>
      </c>
      <c r="J393" s="8" t="str">
        <f>IF([1]All!$E394=0,"",[1]All!$E394)</f>
        <v>3A054</v>
      </c>
      <c r="K393" s="8" t="s">
        <v>229</v>
      </c>
      <c r="L393" s="11" t="str">
        <f>IF([1]All!$L394=0,"",[1]All!$L394)</f>
        <v>WASHER,LOCK</v>
      </c>
      <c r="M393" s="7" t="str">
        <f>IF([1]All!$AJ394=0,"",[1]All!$AJ394)</f>
        <v xml:space="preserve">B8J8 </v>
      </c>
      <c r="N393" s="7" t="str">
        <f>IF([1]All!$R394=0,"",[1]All!$R394)</f>
        <v>5310</v>
      </c>
      <c r="O393" s="7" t="str">
        <f>IF([1]All!$S394=0,"",[1]All!$S394)</f>
        <v>016112340</v>
      </c>
      <c r="P393" s="7" t="str">
        <f>IF([1]All!$V394=0,"",[1]All!$V394)</f>
        <v>0000000019</v>
      </c>
      <c r="Q393" s="3" t="str">
        <f t="shared" si="41"/>
        <v>$0.19</v>
      </c>
      <c r="R393" s="8" t="str">
        <f>IF([1]All!$F394=0,"",[1]All!$F394)</f>
        <v>91102A750</v>
      </c>
    </row>
    <row r="394" spans="1:18">
      <c r="A394" s="7"/>
      <c r="B394" s="3">
        <f t="shared" si="36"/>
        <v>69</v>
      </c>
      <c r="C394" s="3" t="str">
        <f t="shared" si="37"/>
        <v>E</v>
      </c>
      <c r="D394" s="9" t="str">
        <f t="shared" si="38"/>
        <v>17384</v>
      </c>
      <c r="E394" s="3" t="str">
        <f t="shared" si="39"/>
        <v>CAFY  17384</v>
      </c>
      <c r="F394" s="10" t="str">
        <f t="shared" si="40"/>
        <v>PCCN: CRGARM:-:PLISN: CAFY :-:PCC: TIT :-: CAGE: 0PVE5:-:PART NUMBER: 17384:-:NOMENCLATURE: WASHER,FLAT:-:PRICE: $3.52:-:UNIQUE MODS: NO:-:PROPRIETARILY MFG FOR OEM: NO:-: :-: :-: :-:NSN: 5310015660640 :-: NHA: MIL-001-1573</v>
      </c>
      <c r="G394" s="8" t="str">
        <f>IF([1]All!$B395="","",[1]All!$B395)</f>
        <v xml:space="preserve">CAFY </v>
      </c>
      <c r="H394" s="8"/>
      <c r="I394" s="8" t="str">
        <f>IF([1]All!$D395=0,"",[1]All!$D395)</f>
        <v>E</v>
      </c>
      <c r="J394" s="8" t="str">
        <f>IF([1]All!$E395=0,"",[1]All!$E395)</f>
        <v>0PVE5</v>
      </c>
      <c r="K394" s="8" t="s">
        <v>407</v>
      </c>
      <c r="L394" s="11" t="str">
        <f>IF([1]All!$L395=0,"",[1]All!$L395)</f>
        <v>WASHER,FLAT</v>
      </c>
      <c r="M394" s="7" t="str">
        <f>IF([1]All!$AJ395=0,"",[1]All!$AJ395)</f>
        <v xml:space="preserve">B8J8 </v>
      </c>
      <c r="N394" s="7" t="str">
        <f>IF([1]All!$R395=0,"",[1]All!$R395)</f>
        <v>5310</v>
      </c>
      <c r="O394" s="7" t="str">
        <f>IF([1]All!$S395=0,"",[1]All!$S395)</f>
        <v>015660640</v>
      </c>
      <c r="P394" s="7" t="str">
        <f>IF([1]All!$V395=0,"",[1]All!$V395)</f>
        <v>0000000352</v>
      </c>
      <c r="Q394" s="3" t="str">
        <f t="shared" si="41"/>
        <v>$3.52</v>
      </c>
      <c r="R394" s="8" t="str">
        <f>IF([1]All!$F395=0,"",[1]All!$F395)</f>
        <v>17384</v>
      </c>
    </row>
    <row r="395" spans="1:18">
      <c r="A395" s="7"/>
      <c r="B395" s="3">
        <f t="shared" si="36"/>
        <v>69</v>
      </c>
      <c r="C395" s="3" t="str">
        <f t="shared" si="37"/>
        <v>E</v>
      </c>
      <c r="D395" s="9" t="str">
        <f t="shared" si="38"/>
        <v>0153964</v>
      </c>
      <c r="E395" s="3" t="str">
        <f t="shared" si="39"/>
        <v>CAMU  0153964</v>
      </c>
      <c r="F395" s="10" t="str">
        <f t="shared" si="40"/>
        <v>PCCN: CRGARM:-:PLISN: CAMU :-:PCC: TIT :-: CAGE: 0Y3H3:-:PART NUMBER: 0153964:-:NOMENCLATURE: SCREW,CAP,HEXAGON H:-:PRICE: $0.11:-:UNIQUE MODS: NO:-:PROPRIETARILY MFG FOR OEM: NO:-: :-: :-: :-:NSN: 5305015640955 :-: NHA: MIL-001-1573</v>
      </c>
      <c r="G395" s="8" t="str">
        <f>IF([1]All!$B396="","",[1]All!$B396)</f>
        <v xml:space="preserve">CAMU </v>
      </c>
      <c r="H395" s="8"/>
      <c r="I395" s="8" t="str">
        <f>IF([1]All!$D396=0,"",[1]All!$D396)</f>
        <v>E</v>
      </c>
      <c r="J395" s="8" t="str">
        <f>IF([1]All!$E396=0,"",[1]All!$E396)</f>
        <v>0Y3H3</v>
      </c>
      <c r="K395" s="8" t="s">
        <v>296</v>
      </c>
      <c r="L395" s="11" t="str">
        <f>IF([1]All!$L396=0,"",[1]All!$L396)</f>
        <v>SCREW,CAP,HEXAGON H</v>
      </c>
      <c r="M395" s="7" t="str">
        <f>IF([1]All!$AJ396=0,"",[1]All!$AJ396)</f>
        <v xml:space="preserve">B8J8 </v>
      </c>
      <c r="N395" s="7" t="str">
        <f>IF([1]All!$R396=0,"",[1]All!$R396)</f>
        <v>5305</v>
      </c>
      <c r="O395" s="7" t="str">
        <f>IF([1]All!$S396=0,"",[1]All!$S396)</f>
        <v>015640955</v>
      </c>
      <c r="P395" s="7" t="str">
        <f>IF([1]All!$V396=0,"",[1]All!$V396)</f>
        <v>0000000011</v>
      </c>
      <c r="Q395" s="3" t="str">
        <f t="shared" si="41"/>
        <v>$0.11</v>
      </c>
      <c r="R395" s="8" t="str">
        <f>IF([1]All!$F396=0,"",[1]All!$F396)</f>
        <v>0153964</v>
      </c>
    </row>
    <row r="396" spans="1:18">
      <c r="A396" s="7"/>
      <c r="B396" s="3">
        <f t="shared" si="36"/>
        <v>69</v>
      </c>
      <c r="C396" s="3" t="str">
        <f t="shared" si="37"/>
        <v>E</v>
      </c>
      <c r="D396" s="9" t="str">
        <f t="shared" si="38"/>
        <v>L140127-06</v>
      </c>
      <c r="E396" s="3" t="str">
        <f t="shared" si="39"/>
        <v>CATQ  L140127-06</v>
      </c>
      <c r="F396" s="10" t="str">
        <f t="shared" si="40"/>
        <v>PCCN: CRGARM:-:PLISN: CATQ :-:PCC: TIT :-: CAGE: 19397:-:PART NUMBER: L140127-06:-:NOMENCLATURE: WASHER,LOCK:-:PRICE: $0.04:-:UNIQUE MODS: NO:-:PROPRIETARILY MFG FOR OEM: NO:-: :-: :-: :-:NSN: 5310015336196 :-: NHA: MIL-001-1573</v>
      </c>
      <c r="G396" s="8" t="str">
        <f>IF([1]All!$B397="","",[1]All!$B397)</f>
        <v xml:space="preserve">CATQ </v>
      </c>
      <c r="H396" s="8"/>
      <c r="I396" s="8" t="str">
        <f>IF([1]All!$D397=0,"",[1]All!$D397)</f>
        <v>E</v>
      </c>
      <c r="J396" s="8" t="str">
        <f>IF([1]All!$E397=0,"",[1]All!$E397)</f>
        <v>19397</v>
      </c>
      <c r="K396" s="8" t="s">
        <v>246</v>
      </c>
      <c r="L396" s="11" t="str">
        <f>IF([1]All!$L397=0,"",[1]All!$L397)</f>
        <v>WASHER,LOCK</v>
      </c>
      <c r="M396" s="7" t="str">
        <f>IF([1]All!$AJ397=0,"",[1]All!$AJ397)</f>
        <v xml:space="preserve">B8J8 </v>
      </c>
      <c r="N396" s="7" t="str">
        <f>IF([1]All!$R397=0,"",[1]All!$R397)</f>
        <v>5310</v>
      </c>
      <c r="O396" s="7" t="str">
        <f>IF([1]All!$S397=0,"",[1]All!$S397)</f>
        <v>015336196</v>
      </c>
      <c r="P396" s="7" t="str">
        <f>IF([1]All!$V397=0,"",[1]All!$V397)</f>
        <v>0000000004</v>
      </c>
      <c r="Q396" s="3" t="str">
        <f t="shared" si="41"/>
        <v>$0.04</v>
      </c>
      <c r="R396" s="8" t="str">
        <f>IF([1]All!$F397=0,"",[1]All!$F397)</f>
        <v>L140127-06</v>
      </c>
    </row>
    <row r="397" spans="1:18">
      <c r="A397" s="7"/>
      <c r="B397" s="3">
        <f t="shared" si="36"/>
        <v>67</v>
      </c>
      <c r="C397" s="3" t="str">
        <f t="shared" si="37"/>
        <v>C</v>
      </c>
      <c r="D397" s="9" t="str">
        <f t="shared" si="38"/>
        <v>MIL-001-072</v>
      </c>
      <c r="E397" s="3" t="str">
        <f t="shared" si="39"/>
        <v>CAZL  MIL-001-072</v>
      </c>
      <c r="F397" s="10" t="str">
        <f t="shared" si="40"/>
        <v>PCCN: CRGARM:-:PLISN: CAZL :-:PCC: TIT :-: CAGE: 0UJB5:-:PART NUMBER: MIL-001-072:-:NOMENCLATURE: VALVE,HYDRAULIC:-:PRICE: $5963.00:-:UNIQUE MODS: NO:-:PROPRIETARILY MFG FOR OEM: NO:-: :-: :-: :-:NSN: 4730015689344 :-: NHA: 12574288</v>
      </c>
      <c r="G397" s="8" t="str">
        <f>IF([1]All!$B398="","",[1]All!$B398)</f>
        <v xml:space="preserve">CAZL </v>
      </c>
      <c r="H397" s="8"/>
      <c r="I397" s="8" t="str">
        <f>IF([1]All!$D398=0,"",[1]All!$D398)</f>
        <v>C</v>
      </c>
      <c r="J397" s="8" t="str">
        <f>IF([1]All!$E398=0,"",[1]All!$E398)</f>
        <v>0UJB5</v>
      </c>
      <c r="K397" s="8" t="s">
        <v>297</v>
      </c>
      <c r="L397" s="11" t="str">
        <f>IF([1]All!$L398=0,"",[1]All!$L398)</f>
        <v>VALVE,HYDRAULIC</v>
      </c>
      <c r="M397" s="7" t="str">
        <f>IF([1]All!$AJ398=0,"",[1]All!$AJ398)</f>
        <v xml:space="preserve">AAF6 </v>
      </c>
      <c r="N397" s="7" t="str">
        <f>IF([1]All!$R398=0,"",[1]All!$R398)</f>
        <v>4730</v>
      </c>
      <c r="O397" s="7" t="str">
        <f>IF([1]All!$S398=0,"",[1]All!$S398)</f>
        <v>015689344</v>
      </c>
      <c r="P397" s="7" t="str">
        <f>IF([1]All!$V398=0,"",[1]All!$V398)</f>
        <v>0000596300</v>
      </c>
      <c r="Q397" s="3" t="str">
        <f t="shared" si="41"/>
        <v>$5963.00</v>
      </c>
      <c r="R397" s="8" t="str">
        <f>IF([1]All!$F398=0,"",[1]All!$F398)</f>
        <v>MIL-001-072</v>
      </c>
    </row>
    <row r="398" spans="1:18">
      <c r="A398" s="7"/>
      <c r="B398" s="3">
        <f t="shared" si="36"/>
        <v>68</v>
      </c>
      <c r="C398" s="3" t="str">
        <f t="shared" si="37"/>
        <v>D</v>
      </c>
      <c r="D398" s="9" t="str">
        <f t="shared" si="38"/>
        <v>MIL-001-400</v>
      </c>
      <c r="E398" s="3" t="str">
        <f t="shared" si="39"/>
        <v>CA5G  MIL-001-400</v>
      </c>
      <c r="F398" s="10" t="str">
        <f t="shared" si="40"/>
        <v>PCCN: CRGARM:-:PLISN: CA5G :-:PCC: TIT :-: CAGE: 0UJB5:-:PART NUMBER: MIL-001-400:-:NOMENCLATURE: VALVE,SOLENOID:-:PRICE: $4914.85:-:UNIQUE MODS: NO:-:PROPRIETARILY MFG FOR OEM: NO:-: :-: :-: :-:NSN: 4810016005302 :-: NHA: MIL-001-072 :-: NHA NSN: 4730015689344</v>
      </c>
      <c r="G398" s="8" t="str">
        <f>IF([1]All!$B399="","",[1]All!$B399)</f>
        <v xml:space="preserve">CA5G </v>
      </c>
      <c r="H398" s="8"/>
      <c r="I398" s="8" t="str">
        <f>IF([1]All!$D399=0,"",[1]All!$D399)</f>
        <v>D</v>
      </c>
      <c r="J398" s="8" t="str">
        <f>IF([1]All!$E399=0,"",[1]All!$E399)</f>
        <v>0UJB5</v>
      </c>
      <c r="K398" s="8" t="s">
        <v>298</v>
      </c>
      <c r="L398" s="11" t="str">
        <f>IF([1]All!$L399=0,"",[1]All!$L399)</f>
        <v>VALVE,SOLENOID</v>
      </c>
      <c r="M398" s="7" t="str">
        <f>IF([1]All!$AJ399=0,"",[1]All!$AJ399)</f>
        <v xml:space="preserve">CAZL </v>
      </c>
      <c r="N398" s="7" t="str">
        <f>IF([1]All!$R399=0,"",[1]All!$R399)</f>
        <v>4810</v>
      </c>
      <c r="O398" s="7" t="str">
        <f>IF([1]All!$S399=0,"",[1]All!$S399)</f>
        <v>016005302</v>
      </c>
      <c r="P398" s="7" t="str">
        <f>IF([1]All!$V399=0,"",[1]All!$V399)</f>
        <v>0000491485</v>
      </c>
      <c r="Q398" s="3" t="str">
        <f t="shared" si="41"/>
        <v>$4914.85</v>
      </c>
      <c r="R398" s="8" t="str">
        <f>IF([1]All!$F399=0,"",[1]All!$F399)</f>
        <v>MIL-001-400</v>
      </c>
    </row>
    <row r="399" spans="1:18">
      <c r="A399" s="7"/>
      <c r="B399" s="3">
        <f t="shared" si="36"/>
        <v>69</v>
      </c>
      <c r="C399" s="3" t="str">
        <f t="shared" si="37"/>
        <v>E</v>
      </c>
      <c r="D399" s="9" t="str">
        <f t="shared" si="38"/>
        <v>157B3171</v>
      </c>
      <c r="E399" s="3" t="str">
        <f t="shared" si="39"/>
        <v>CBBC  157B3171</v>
      </c>
      <c r="F399" s="10" t="str">
        <f t="shared" si="40"/>
        <v>PCCN: CRGARM:-:PLISN: CBBC :-:PCC: TIT :-: CAGE: 8Z296:-:PART NUMBER: 157B3171:-:NOMENCLATURE: BODY SECTION, WORKI:-:PRICE: $47.60:-:UNIQUE MODS: NO:-:PROPRIETARILY MFG FOR OEM: NO:-: :-: :-: :-:NSN: 4820015295465 :-: NHA: MIL-001-400 :-: NHA NSN: 4810016005302</v>
      </c>
      <c r="G399" s="8" t="str">
        <f>IF([1]All!$B400="","",[1]All!$B400)</f>
        <v xml:space="preserve">CBBC </v>
      </c>
      <c r="H399" s="8"/>
      <c r="I399" s="8" t="str">
        <f>IF([1]All!$D400=0,"",[1]All!$D400)</f>
        <v>E</v>
      </c>
      <c r="J399" s="8" t="str">
        <f>IF([1]All!$E400=0,"",[1]All!$E400)</f>
        <v>8Z296</v>
      </c>
      <c r="K399" s="8" t="s">
        <v>299</v>
      </c>
      <c r="L399" s="11" t="str">
        <f>IF([1]All!$L400=0,"",[1]All!$L400)</f>
        <v>BODY SECTION, WORKI</v>
      </c>
      <c r="M399" s="7" t="str">
        <f>IF([1]All!$AJ400=0,"",[1]All!$AJ400)</f>
        <v xml:space="preserve">CA5G </v>
      </c>
      <c r="N399" s="7" t="str">
        <f>IF([1]All!$R400=0,"",[1]All!$R400)</f>
        <v>4820</v>
      </c>
      <c r="O399" s="7" t="str">
        <f>IF([1]All!$S400=0,"",[1]All!$S400)</f>
        <v>015295465</v>
      </c>
      <c r="P399" s="7" t="str">
        <f>IF([1]All!$V400=0,"",[1]All!$V400)</f>
        <v>0000004760</v>
      </c>
      <c r="Q399" s="3" t="str">
        <f t="shared" si="41"/>
        <v>$47.60</v>
      </c>
      <c r="R399" s="8" t="str">
        <f>IF([1]All!$F400=0,"",[1]All!$F400)</f>
        <v>157B3171</v>
      </c>
    </row>
    <row r="400" spans="1:18">
      <c r="A400" s="7"/>
      <c r="B400" s="3">
        <f t="shared" si="36"/>
        <v>70</v>
      </c>
      <c r="C400" s="3" t="str">
        <f t="shared" si="37"/>
        <v>F</v>
      </c>
      <c r="D400" s="9" t="str">
        <f t="shared" si="38"/>
        <v>157B3999</v>
      </c>
      <c r="E400" s="3" t="str">
        <f t="shared" si="39"/>
        <v>CBG8  157B3999</v>
      </c>
      <c r="F400" s="10" t="str">
        <f t="shared" si="40"/>
        <v>PCCN: CRGARM:-:PLISN: CBG8 :-:PCC: TIT :-: CAGE: 24976:-:PART NUMBER: 157B3999:-:NOMENCLATURE: PARTS KIT, SEAL REP:-:PRICE: $24.80:-:UNIQUE MODS: NO:-:PROPRIETARILY MFG FOR OEM: NO:-: :-: :-: :-:NSN: 5330015306145 :-: NHA: 157B3171 :-: NHA NSN: 4820015295465</v>
      </c>
      <c r="G400" s="8" t="str">
        <f>IF([1]All!$B401="","",[1]All!$B401)</f>
        <v xml:space="preserve">CBG8 </v>
      </c>
      <c r="H400" s="8"/>
      <c r="I400" s="8" t="str">
        <f>IF([1]All!$D401=0,"",[1]All!$D401)</f>
        <v>F</v>
      </c>
      <c r="J400" s="8" t="str">
        <f>IF([1]All!$E401=0,"",[1]All!$E401)</f>
        <v>24976</v>
      </c>
      <c r="K400" s="8" t="s">
        <v>300</v>
      </c>
      <c r="L400" s="11" t="str">
        <f>IF([1]All!$L401=0,"",[1]All!$L401)</f>
        <v>PARTS KIT, SEAL REP</v>
      </c>
      <c r="M400" s="7" t="str">
        <f>IF([1]All!$AJ401=0,"",[1]All!$AJ401)</f>
        <v xml:space="preserve">CBBC </v>
      </c>
      <c r="N400" s="7" t="str">
        <f>IF([1]All!$R401=0,"",[1]All!$R401)</f>
        <v>5330</v>
      </c>
      <c r="O400" s="7" t="str">
        <f>IF([1]All!$S401=0,"",[1]All!$S401)</f>
        <v>015306145</v>
      </c>
      <c r="P400" s="7" t="str">
        <f>IF([1]All!$V401=0,"",[1]All!$V401)</f>
        <v>0000002480</v>
      </c>
      <c r="Q400" s="3" t="str">
        <f t="shared" si="41"/>
        <v>$24.80</v>
      </c>
      <c r="R400" s="8" t="str">
        <f>IF([1]All!$F401=0,"",[1]All!$F401)</f>
        <v>157B3999</v>
      </c>
    </row>
    <row r="401" spans="1:18">
      <c r="A401" s="7"/>
      <c r="B401" s="3">
        <f t="shared" si="36"/>
        <v>70</v>
      </c>
      <c r="C401" s="3" t="str">
        <f t="shared" si="37"/>
        <v>F</v>
      </c>
      <c r="D401" s="9" t="str">
        <f t="shared" si="38"/>
        <v>3KP468</v>
      </c>
      <c r="E401" s="3" t="str">
        <f t="shared" si="39"/>
        <v>CBKS  3KP468</v>
      </c>
      <c r="F401" s="10" t="str">
        <f t="shared" si="40"/>
        <v>PCCN: CRGARM:-:PLISN: CBKS :-:PCC: TIT :-: CAGE: 75Q65:-:PART NUMBER: 3KP468:-:NOMENCLATURE: VALVE PLATE,HYDRAUL:-:PRICE: $100.64:-:UNIQUE MODS: NO:-:PROPRIETARILY MFG FOR OEM: NO:-: :-: :-: :-:NSN: 4320015133113 :-: NHA: 157B3171 :-: NHA NSN: 4820015295465</v>
      </c>
      <c r="G401" s="8" t="str">
        <f>IF([1]All!$B402="","",[1]All!$B402)</f>
        <v xml:space="preserve">CBKS </v>
      </c>
      <c r="H401" s="8"/>
      <c r="I401" s="8" t="str">
        <f>IF([1]All!$D402=0,"",[1]All!$D402)</f>
        <v>F</v>
      </c>
      <c r="J401" s="8" t="str">
        <f>IF([1]All!$E402=0,"",[1]All!$E402)</f>
        <v>75Q65</v>
      </c>
      <c r="K401" s="8" t="s">
        <v>301</v>
      </c>
      <c r="L401" s="11" t="str">
        <f>IF([1]All!$L402=0,"",[1]All!$L402)</f>
        <v>VALVE PLATE,HYDRAUL</v>
      </c>
      <c r="M401" s="7" t="str">
        <f>IF([1]All!$AJ402=0,"",[1]All!$AJ402)</f>
        <v xml:space="preserve">CBBC </v>
      </c>
      <c r="N401" s="7" t="str">
        <f>IF([1]All!$R402=0,"",[1]All!$R402)</f>
        <v>4320</v>
      </c>
      <c r="O401" s="7" t="str">
        <f>IF([1]All!$S402=0,"",[1]All!$S402)</f>
        <v>015133113</v>
      </c>
      <c r="P401" s="7" t="str">
        <f>IF([1]All!$V402=0,"",[1]All!$V402)</f>
        <v>0000010064</v>
      </c>
      <c r="Q401" s="3" t="str">
        <f t="shared" si="41"/>
        <v>$100.64</v>
      </c>
      <c r="R401" s="8" t="str">
        <f>IF([1]All!$F402=0,"",[1]All!$F402)</f>
        <v>3KP468</v>
      </c>
    </row>
    <row r="402" spans="1:18">
      <c r="A402" s="7"/>
      <c r="B402" s="3">
        <f t="shared" si="36"/>
        <v>69</v>
      </c>
      <c r="C402" s="3" t="str">
        <f t="shared" si="37"/>
        <v>E</v>
      </c>
      <c r="D402" s="9" t="str">
        <f t="shared" si="38"/>
        <v>MIL-001-463</v>
      </c>
      <c r="E402" s="3" t="str">
        <f t="shared" si="39"/>
        <v>CBN4  MIL-001-463</v>
      </c>
      <c r="F402" s="10" t="str">
        <f t="shared" si="40"/>
        <v>PCCN: CRGARM:-:PLISN: CBN4 :-:PCC: TIT :-: CAGE: 0UJB5:-:PART NUMBER: MIL-001-463:-:NOMENCLATURE: SOLENOID, ELECTRICA:-:PRICE: $1428.10:-:UNIQUE MODS: NO:-:PROPRIETARILY MFG FOR OEM: NO:-: :-: :-: :-:NSN: 5945015738747 :-: NHA: MIL-001-400 :-: NHA NSN: 4810016005302</v>
      </c>
      <c r="G402" s="8" t="str">
        <f>IF([1]All!$B403="","",[1]All!$B403)</f>
        <v xml:space="preserve">CBN4 </v>
      </c>
      <c r="H402" s="8"/>
      <c r="I402" s="8" t="str">
        <f>IF([1]All!$D403=0,"",[1]All!$D403)</f>
        <v>E</v>
      </c>
      <c r="J402" s="8" t="str">
        <f>IF([1]All!$E403=0,"",[1]All!$E403)</f>
        <v>0UJB5</v>
      </c>
      <c r="K402" s="8" t="s">
        <v>302</v>
      </c>
      <c r="L402" s="11" t="str">
        <f>IF([1]All!$L403=0,"",[1]All!$L403)</f>
        <v>SOLENOID, ELECTRICA</v>
      </c>
      <c r="M402" s="7" t="str">
        <f>IF([1]All!$AJ403=0,"",[1]All!$AJ403)</f>
        <v xml:space="preserve">CA5G </v>
      </c>
      <c r="N402" s="7" t="str">
        <f>IF([1]All!$R403=0,"",[1]All!$R403)</f>
        <v>5945</v>
      </c>
      <c r="O402" s="7" t="str">
        <f>IF([1]All!$S403=0,"",[1]All!$S403)</f>
        <v>015738747</v>
      </c>
      <c r="P402" s="7" t="str">
        <f>IF([1]All!$V403=0,"",[1]All!$V403)</f>
        <v>0000142810</v>
      </c>
      <c r="Q402" s="3" t="str">
        <f t="shared" si="41"/>
        <v>$1428.10</v>
      </c>
      <c r="R402" s="8" t="str">
        <f>IF([1]All!$F403=0,"",[1]All!$F403)</f>
        <v>MIL-001-463</v>
      </c>
    </row>
    <row r="403" spans="1:18">
      <c r="A403" s="7"/>
      <c r="B403" s="3">
        <f t="shared" si="36"/>
        <v>70</v>
      </c>
      <c r="C403" s="3" t="str">
        <f t="shared" si="37"/>
        <v>F</v>
      </c>
      <c r="D403" s="9" t="str">
        <f t="shared" si="38"/>
        <v>157B4997</v>
      </c>
      <c r="E403" s="3" t="str">
        <f t="shared" si="39"/>
        <v>CBU0  157B4997</v>
      </c>
      <c r="F403" s="10" t="str">
        <f t="shared" si="40"/>
        <v>PCCN: CRGARM:-:PLISN: CBU0 :-:PCC: TIT :-: CAGE: 8Z296:-:PART NUMBER: 157B4997:-:NOMENCLATURE: PARTS KIT, SEAL REP:-:PRICE: $6.71:-:UNIQUE MODS: NO:-:PROPRIETARILY MFG FOR OEM: NO:-: :-: :-: :-:NSN: 5330014313087 :-: NHA: MIL-001-463 :-: NHA NSN: 5945015738747</v>
      </c>
      <c r="G403" s="8" t="str">
        <f>IF([1]All!$B404="","",[1]All!$B404)</f>
        <v xml:space="preserve">CBU0 </v>
      </c>
      <c r="H403" s="8"/>
      <c r="I403" s="8" t="str">
        <f>IF([1]All!$D404=0,"",[1]All!$D404)</f>
        <v>F</v>
      </c>
      <c r="J403" s="8" t="str">
        <f>IF([1]All!$E404=0,"",[1]All!$E404)</f>
        <v>8Z296</v>
      </c>
      <c r="K403" s="8" t="s">
        <v>303</v>
      </c>
      <c r="L403" s="11" t="str">
        <f>IF([1]All!$L404=0,"",[1]All!$L404)</f>
        <v>PARTS KIT, SEAL REP</v>
      </c>
      <c r="M403" s="7" t="str">
        <f>IF([1]All!$AJ404=0,"",[1]All!$AJ404)</f>
        <v xml:space="preserve">CBN4 </v>
      </c>
      <c r="N403" s="7" t="str">
        <f>IF([1]All!$R404=0,"",[1]All!$R404)</f>
        <v>5330</v>
      </c>
      <c r="O403" s="7" t="str">
        <f>IF([1]All!$S404=0,"",[1]All!$S404)</f>
        <v>014313087</v>
      </c>
      <c r="P403" s="7" t="str">
        <f>IF([1]All!$V404=0,"",[1]All!$V404)</f>
        <v>0000000671</v>
      </c>
      <c r="Q403" s="3" t="str">
        <f t="shared" si="41"/>
        <v>$6.71</v>
      </c>
      <c r="R403" s="8" t="str">
        <f>IF([1]All!$F404=0,"",[1]All!$F404)</f>
        <v>157B4997</v>
      </c>
    </row>
    <row r="404" spans="1:18">
      <c r="A404" s="7"/>
      <c r="B404" s="3">
        <f t="shared" si="36"/>
        <v>69</v>
      </c>
      <c r="C404" s="3" t="str">
        <f t="shared" si="37"/>
        <v>E</v>
      </c>
      <c r="D404" s="9" t="str">
        <f t="shared" si="38"/>
        <v>157B5312</v>
      </c>
      <c r="E404" s="3" t="str">
        <f t="shared" si="39"/>
        <v>CB0W  157B5312</v>
      </c>
      <c r="F404" s="10" t="str">
        <f t="shared" si="40"/>
        <v>PCCN: CRGARM:-:PLISN: CB0W :-:PCC: TIT :-: CAGE: 8Z296:-:PART NUMBER: 157B5312:-:NOMENCLATURE: VALVE, SAFETY RELIE:-:PRICE: $243.80:-:UNIQUE MODS: NO:-:PROPRIETARILY MFG FOR OEM: NO:-: :-: :-: :-:NSN: 4820016213321 :-: NHA: MIL-001-400 :-: NHA NSN: 4810016005302</v>
      </c>
      <c r="G404" s="8" t="str">
        <f>IF([1]All!$B405="","",[1]All!$B405)</f>
        <v xml:space="preserve">CB0W </v>
      </c>
      <c r="H404" s="8"/>
      <c r="I404" s="8" t="str">
        <f>IF([1]All!$D405=0,"",[1]All!$D405)</f>
        <v>E</v>
      </c>
      <c r="J404" s="8" t="str">
        <f>IF([1]All!$E405=0,"",[1]All!$E405)</f>
        <v>8Z296</v>
      </c>
      <c r="K404" s="8" t="s">
        <v>304</v>
      </c>
      <c r="L404" s="11" t="str">
        <f>IF([1]All!$L405=0,"",[1]All!$L405)</f>
        <v>VALVE, SAFETY RELIE</v>
      </c>
      <c r="M404" s="7" t="str">
        <f>IF([1]All!$AJ405=0,"",[1]All!$AJ405)</f>
        <v xml:space="preserve">CA5G </v>
      </c>
      <c r="N404" s="7" t="str">
        <f>IF([1]All!$R405=0,"",[1]All!$R405)</f>
        <v>4820</v>
      </c>
      <c r="O404" s="7" t="str">
        <f>IF([1]All!$S405=0,"",[1]All!$S405)</f>
        <v>016213321</v>
      </c>
      <c r="P404" s="7" t="str">
        <f>IF([1]All!$V405=0,"",[1]All!$V405)</f>
        <v>0000024380</v>
      </c>
      <c r="Q404" s="3" t="str">
        <f t="shared" si="41"/>
        <v>$243.80</v>
      </c>
      <c r="R404" s="8" t="str">
        <f>IF([1]All!$F405=0,"",[1]All!$F405)</f>
        <v>157B5312</v>
      </c>
    </row>
    <row r="405" spans="1:18">
      <c r="A405" s="7"/>
      <c r="B405" s="3">
        <f t="shared" si="36"/>
        <v>70</v>
      </c>
      <c r="C405" s="3" t="str">
        <f t="shared" si="37"/>
        <v>F</v>
      </c>
      <c r="D405" s="9" t="str">
        <f t="shared" si="38"/>
        <v>157B5999</v>
      </c>
      <c r="E405" s="3" t="str">
        <f t="shared" si="39"/>
        <v>CB6S  157B5999</v>
      </c>
      <c r="F405" s="10" t="str">
        <f t="shared" si="40"/>
        <v>PCCN: CRGARM:-:PLISN: CB6S :-:PCC: TIT :-: CAGE: 24976:-:PART NUMBER: 157B5999:-:NOMENCLATURE: PART KIT, LINEAR DI:-:PRICE: $9.93:-:UNIQUE MODS: NO:-:PROPRIETARILY MFG FOR OEM: NO:-: :-: :-: :-:NSN: 4820014571022 :-: NHA: 157B5312 :-: NHA NSN: 4820016213321</v>
      </c>
      <c r="G405" s="8" t="str">
        <f>IF([1]All!$B406="","",[1]All!$B406)</f>
        <v xml:space="preserve">CB6S </v>
      </c>
      <c r="H405" s="8"/>
      <c r="I405" s="8" t="str">
        <f>IF([1]All!$D406=0,"",[1]All!$D406)</f>
        <v>F</v>
      </c>
      <c r="J405" s="8" t="str">
        <f>IF([1]All!$E406=0,"",[1]All!$E406)</f>
        <v>24976</v>
      </c>
      <c r="K405" s="8" t="s">
        <v>305</v>
      </c>
      <c r="L405" s="11" t="str">
        <f>IF([1]All!$L406=0,"",[1]All!$L406)</f>
        <v>PART KIT, LINEAR DI</v>
      </c>
      <c r="M405" s="7" t="str">
        <f>IF([1]All!$AJ406=0,"",[1]All!$AJ406)</f>
        <v xml:space="preserve">CB0W </v>
      </c>
      <c r="N405" s="7" t="str">
        <f>IF([1]All!$R406=0,"",[1]All!$R406)</f>
        <v>4820</v>
      </c>
      <c r="O405" s="7" t="str">
        <f>IF([1]All!$S406=0,"",[1]All!$S406)</f>
        <v>014571022</v>
      </c>
      <c r="P405" s="7" t="str">
        <f>IF([1]All!$V406=0,"",[1]All!$V406)</f>
        <v>0000000993</v>
      </c>
      <c r="Q405" s="3" t="str">
        <f t="shared" si="41"/>
        <v>$9.93</v>
      </c>
      <c r="R405" s="8" t="str">
        <f>IF([1]All!$F406=0,"",[1]All!$F406)</f>
        <v>157B5999</v>
      </c>
    </row>
    <row r="406" spans="1:18">
      <c r="A406" s="7"/>
      <c r="B406" s="3">
        <f t="shared" si="36"/>
        <v>69</v>
      </c>
      <c r="C406" s="3" t="str">
        <f t="shared" si="37"/>
        <v>E</v>
      </c>
      <c r="D406" s="9" t="str">
        <f t="shared" si="38"/>
        <v>157B4238</v>
      </c>
      <c r="E406" s="3" t="str">
        <f t="shared" si="39"/>
        <v>CCCN  157B4238</v>
      </c>
      <c r="F406" s="10" t="str">
        <f t="shared" si="40"/>
        <v>PCCN: CRGARM:-:PLISN: CCCN :-:PCC: TIT :-: CAGE: 8Z296:-:PART NUMBER: 157B4238:-:NOMENCLATURE: VALVE,UNLOADING:-:PRICE: $250.00:-:UNIQUE MODS: NO:-:PROPRIETARILY MFG FOR OEM: NO:-: :-: :-: :-: :-: NHA: MIL-001-400 :-: NHA NSN: 4810016005302</v>
      </c>
      <c r="G406" s="8" t="str">
        <f>IF([1]All!$B407="","",[1]All!$B407)</f>
        <v xml:space="preserve">CCCN </v>
      </c>
      <c r="H406" s="8"/>
      <c r="I406" s="8" t="str">
        <f>IF([1]All!$D407=0,"",[1]All!$D407)</f>
        <v>E</v>
      </c>
      <c r="J406" s="8" t="str">
        <f>IF([1]All!$E407=0,"",[1]All!$E407)</f>
        <v>8Z296</v>
      </c>
      <c r="K406" s="8" t="s">
        <v>306</v>
      </c>
      <c r="L406" s="11" t="str">
        <f>IF([1]All!$L407=0,"",[1]All!$L407)</f>
        <v>VALVE,UNLOADING</v>
      </c>
      <c r="M406" s="7" t="str">
        <f>IF([1]All!$AJ407=0,"",[1]All!$AJ407)</f>
        <v xml:space="preserve">CA5G </v>
      </c>
      <c r="N406" s="7" t="str">
        <f>IF([1]All!$R407=0,"",[1]All!$R407)</f>
        <v/>
      </c>
      <c r="O406" s="7" t="str">
        <f>IF([1]All!$S407=0,"",[1]All!$S407)</f>
        <v/>
      </c>
      <c r="P406" s="7" t="str">
        <f>IF([1]All!$V407=0,"",[1]All!$V407)</f>
        <v>0000025000</v>
      </c>
      <c r="Q406" s="3" t="str">
        <f t="shared" si="41"/>
        <v>$250.00</v>
      </c>
      <c r="R406" s="8" t="str">
        <f>IF([1]All!$F407=0,"",[1]All!$F407)</f>
        <v>157B4238</v>
      </c>
    </row>
    <row r="407" spans="1:18">
      <c r="A407" s="7"/>
      <c r="B407" s="3">
        <f t="shared" si="36"/>
        <v>70</v>
      </c>
      <c r="C407" s="3" t="str">
        <f t="shared" si="37"/>
        <v>F</v>
      </c>
      <c r="D407" s="9" t="str">
        <f t="shared" si="38"/>
        <v>MIL-001-461</v>
      </c>
      <c r="E407" s="3" t="str">
        <f t="shared" si="39"/>
        <v>CCFR  MIL-001-461</v>
      </c>
      <c r="F407" s="10" t="str">
        <f t="shared" si="40"/>
        <v>PCCN: CRGARM:-:PLISN: CCFR :-:PCC: TIT :-: CAGE: 0UJB5:-:PART NUMBER: MIL-001-461:-:NOMENCLATURE: COIL,ELECTRICAL:-:PRICE: $198.90:-:UNIQUE MODS: NO:-:PROPRIETARILY MFG FOR OEM: NO:-: :-: :-: :-:NSN: 5950015662598 :-: NHA: 157B4238</v>
      </c>
      <c r="G407" s="8" t="str">
        <f>IF([1]All!$B408="","",[1]All!$B408)</f>
        <v xml:space="preserve">CCFR </v>
      </c>
      <c r="H407" s="8"/>
      <c r="I407" s="8" t="str">
        <f>IF([1]All!$D408=0,"",[1]All!$D408)</f>
        <v>F</v>
      </c>
      <c r="J407" s="8" t="str">
        <f>IF([1]All!$E408=0,"",[1]All!$E408)</f>
        <v>0UJB5</v>
      </c>
      <c r="K407" s="8" t="s">
        <v>307</v>
      </c>
      <c r="L407" s="11" t="str">
        <f>IF([1]All!$L408=0,"",[1]All!$L408)</f>
        <v>COIL,ELECTRICAL</v>
      </c>
      <c r="M407" s="7" t="str">
        <f>IF([1]All!$AJ408=0,"",[1]All!$AJ408)</f>
        <v xml:space="preserve">CCCN </v>
      </c>
      <c r="N407" s="7" t="str">
        <f>IF([1]All!$R408=0,"",[1]All!$R408)</f>
        <v>5950</v>
      </c>
      <c r="O407" s="7" t="str">
        <f>IF([1]All!$S408=0,"",[1]All!$S408)</f>
        <v>015662598</v>
      </c>
      <c r="P407" s="7" t="str">
        <f>IF([1]All!$V408=0,"",[1]All!$V408)</f>
        <v>0000019890</v>
      </c>
      <c r="Q407" s="3" t="str">
        <f t="shared" si="41"/>
        <v>$198.90</v>
      </c>
      <c r="R407" s="8" t="str">
        <f>IF([1]All!$F408=0,"",[1]All!$F408)</f>
        <v>MIL-001-461</v>
      </c>
    </row>
    <row r="408" spans="1:18">
      <c r="A408" s="7"/>
      <c r="B408" s="3">
        <f t="shared" si="36"/>
        <v>70</v>
      </c>
      <c r="C408" s="3" t="str">
        <f t="shared" si="37"/>
        <v>F</v>
      </c>
      <c r="D408" s="9" t="str">
        <f t="shared" si="38"/>
        <v>MIL-001-719</v>
      </c>
      <c r="E408" s="3" t="str">
        <f t="shared" si="39"/>
        <v>CCHV  MIL-001-719</v>
      </c>
      <c r="F408" s="10" t="str">
        <f t="shared" si="40"/>
        <v>PCCN: CRGARM:-:PLISN: CCHV :-:PCC: TIT :-: CAGE: 0UJB5:-:PART NUMBER: MIL-001-719:-:NOMENCLATURE: CAP,VALVE:-:PRICE: $5.10:-:UNIQUE MODS: NO:-:PROPRIETARILY MFG FOR OEM: NO:-: :-: :-: :-:NSN: 4810016005303 :-: NHA: 157B4238</v>
      </c>
      <c r="G408" s="8" t="str">
        <f>IF([1]All!$B409="","",[1]All!$B409)</f>
        <v xml:space="preserve">CCHV </v>
      </c>
      <c r="H408" s="8"/>
      <c r="I408" s="8" t="str">
        <f>IF([1]All!$D409=0,"",[1]All!$D409)</f>
        <v>F</v>
      </c>
      <c r="J408" s="8" t="str">
        <f>IF([1]All!$E409=0,"",[1]All!$E409)</f>
        <v>0UJB5</v>
      </c>
      <c r="K408" s="8" t="s">
        <v>308</v>
      </c>
      <c r="L408" s="11" t="str">
        <f>IF([1]All!$L409=0,"",[1]All!$L409)</f>
        <v>CAP,VALVE</v>
      </c>
      <c r="M408" s="7" t="str">
        <f>IF([1]All!$AJ409=0,"",[1]All!$AJ409)</f>
        <v xml:space="preserve">CCCN </v>
      </c>
      <c r="N408" s="7" t="str">
        <f>IF([1]All!$R409=0,"",[1]All!$R409)</f>
        <v>4810</v>
      </c>
      <c r="O408" s="7" t="str">
        <f>IF([1]All!$S409=0,"",[1]All!$S409)</f>
        <v>016005303</v>
      </c>
      <c r="P408" s="7" t="str">
        <f>IF([1]All!$V409=0,"",[1]All!$V409)</f>
        <v>0000000510</v>
      </c>
      <c r="Q408" s="3" t="str">
        <f t="shared" si="41"/>
        <v>$5.10</v>
      </c>
      <c r="R408" s="8" t="str">
        <f>IF([1]All!$F409=0,"",[1]All!$F409)</f>
        <v>MIL-001-719</v>
      </c>
    </row>
    <row r="409" spans="1:18">
      <c r="A409" s="7"/>
      <c r="B409" s="3">
        <f t="shared" si="36"/>
        <v>70</v>
      </c>
      <c r="C409" s="3" t="str">
        <f t="shared" si="37"/>
        <v>F</v>
      </c>
      <c r="D409" s="9" t="str">
        <f t="shared" si="38"/>
        <v>157B4996</v>
      </c>
      <c r="E409" s="3" t="str">
        <f t="shared" si="39"/>
        <v>CCJJ  157B4996</v>
      </c>
      <c r="F409" s="10" t="str">
        <f t="shared" si="40"/>
        <v>PCCN: CRGARM:-:PLISN: CCJJ :-:PCC: TIT :-: CAGE: 8Z296:-:PART NUMBER: 157B4996:-:NOMENCLATURE: DUMP VALVE SOLENOID:-:PRICE: $15.11:-:UNIQUE MODS: NO:-:PROPRIETARILY MFG FOR OEM: NO:-: :-: :-: :-: :-: NHA: 157B4238</v>
      </c>
      <c r="G409" s="8" t="str">
        <f>IF([1]All!$B410="","",[1]All!$B410)</f>
        <v xml:space="preserve">CCJJ </v>
      </c>
      <c r="H409" s="8"/>
      <c r="I409" s="8" t="str">
        <f>IF([1]All!$D410=0,"",[1]All!$D410)</f>
        <v>F</v>
      </c>
      <c r="J409" s="8" t="str">
        <f>IF([1]All!$E410=0,"",[1]All!$E410)</f>
        <v>8Z296</v>
      </c>
      <c r="K409" s="8" t="s">
        <v>436</v>
      </c>
      <c r="L409" s="11" t="str">
        <f>IF([1]All!$L410=0,"",[1]All!$L410)</f>
        <v>DUMP VALVE SOLENOID</v>
      </c>
      <c r="M409" s="7" t="str">
        <f>IF([1]All!$AJ410=0,"",[1]All!$AJ410)</f>
        <v xml:space="preserve">CCCN </v>
      </c>
      <c r="N409" s="7" t="str">
        <f>IF([1]All!$R410=0,"",[1]All!$R410)</f>
        <v/>
      </c>
      <c r="O409" s="7" t="str">
        <f>IF([1]All!$S410=0,"",[1]All!$S410)</f>
        <v/>
      </c>
      <c r="P409" s="7" t="str">
        <f>IF([1]All!$V410=0,"",[1]All!$V410)</f>
        <v>0000001511</v>
      </c>
      <c r="Q409" s="3" t="str">
        <f t="shared" si="41"/>
        <v>$15.11</v>
      </c>
      <c r="R409" s="8" t="str">
        <f>IF([1]All!$F410=0,"",[1]All!$F410)</f>
        <v>157B4996</v>
      </c>
    </row>
    <row r="410" spans="1:18">
      <c r="A410" s="7"/>
      <c r="B410" s="3">
        <f t="shared" si="36"/>
        <v>71</v>
      </c>
      <c r="C410" s="3" t="str">
        <f t="shared" si="37"/>
        <v>G</v>
      </c>
      <c r="D410" s="9" t="str">
        <f t="shared" si="38"/>
        <v>MIL-001-598</v>
      </c>
      <c r="E410" s="3" t="str">
        <f t="shared" si="39"/>
        <v>CCKM  MIL-001-598</v>
      </c>
      <c r="F410" s="10" t="str">
        <f t="shared" si="40"/>
        <v>PCCN: CRGARM:-:PLISN: CCKM :-:PCC: TIT :-: CAGE: 0UJB5:-:PART NUMBER: MIL-001-598:-:NOMENCLATURE: O-RING:-:PRICE: $0.92:-:UNIQUE MODS: NO:-:PROPRIETARILY MFG FOR OEM: NO:-: :-: :-: :-:NSN: 5331015702389 :-: NHA: 157B4996</v>
      </c>
      <c r="G410" s="8" t="str">
        <f>IF([1]All!$B411="","",[1]All!$B411)</f>
        <v xml:space="preserve">CCKM </v>
      </c>
      <c r="H410" s="8"/>
      <c r="I410" s="8" t="str">
        <f>IF([1]All!$D411=0,"",[1]All!$D411)</f>
        <v>G</v>
      </c>
      <c r="J410" s="8" t="str">
        <f>IF([1]All!$E411=0,"",[1]All!$E411)</f>
        <v>0UJB5</v>
      </c>
      <c r="K410" s="8" t="s">
        <v>309</v>
      </c>
      <c r="L410" s="11" t="str">
        <f>IF([1]All!$L411=0,"",[1]All!$L411)</f>
        <v>O-RING</v>
      </c>
      <c r="M410" s="7" t="str">
        <f>IF([1]All!$AJ411=0,"",[1]All!$AJ411)</f>
        <v xml:space="preserve">CCJJ </v>
      </c>
      <c r="N410" s="7" t="str">
        <f>IF([1]All!$R411=0,"",[1]All!$R411)</f>
        <v>5331</v>
      </c>
      <c r="O410" s="7" t="str">
        <f>IF([1]All!$S411=0,"",[1]All!$S411)</f>
        <v>015702389</v>
      </c>
      <c r="P410" s="7" t="str">
        <f>IF([1]All!$V411=0,"",[1]All!$V411)</f>
        <v>0000000092</v>
      </c>
      <c r="Q410" s="3" t="str">
        <f t="shared" si="41"/>
        <v>$0.92</v>
      </c>
      <c r="R410" s="8" t="str">
        <f>IF([1]All!$F411=0,"",[1]All!$F411)</f>
        <v>MIL-001-598</v>
      </c>
    </row>
    <row r="411" spans="1:18">
      <c r="A411" s="7"/>
      <c r="B411" s="3">
        <f t="shared" si="36"/>
        <v>69</v>
      </c>
      <c r="C411" s="3" t="str">
        <f t="shared" si="37"/>
        <v>E</v>
      </c>
      <c r="D411" s="9" t="str">
        <f t="shared" si="38"/>
        <v>157B6630</v>
      </c>
      <c r="E411" s="3" t="str">
        <f t="shared" si="39"/>
        <v>CCQE  157B6630</v>
      </c>
      <c r="F411" s="10" t="str">
        <f t="shared" si="40"/>
        <v>PCCN: CRGARM:-:PLISN: CCQE :-:PCC: TIT :-: CAGE: 8Z296:-:PART NUMBER: 157B6630:-:NOMENCLATURE: BODY, VALVE:-:PRICE: $204.63:-:UNIQUE MODS: NO:-:PROPRIETARILY MFG FOR OEM: NO:-: :-: :-: :-:NSN: 4820015356481 :-: NHA: MIL-001-400 :-: NHA NSN: 4810016005302</v>
      </c>
      <c r="G411" s="8" t="str">
        <f>IF([1]All!$B412="","",[1]All!$B412)</f>
        <v xml:space="preserve">CCQE </v>
      </c>
      <c r="H411" s="8"/>
      <c r="I411" s="8" t="str">
        <f>IF([1]All!$D412=0,"",[1]All!$D412)</f>
        <v>E</v>
      </c>
      <c r="J411" s="8" t="str">
        <f>IF([1]All!$E412=0,"",[1]All!$E412)</f>
        <v>8Z296</v>
      </c>
      <c r="K411" s="8" t="s">
        <v>310</v>
      </c>
      <c r="L411" s="11" t="str">
        <f>IF([1]All!$L412=0,"",[1]All!$L412)</f>
        <v>BODY, VALVE</v>
      </c>
      <c r="M411" s="7" t="str">
        <f>IF([1]All!$AJ412=0,"",[1]All!$AJ412)</f>
        <v xml:space="preserve">CA5G </v>
      </c>
      <c r="N411" s="7" t="str">
        <f>IF([1]All!$R412=0,"",[1]All!$R412)</f>
        <v>4820</v>
      </c>
      <c r="O411" s="7" t="str">
        <f>IF([1]All!$S412=0,"",[1]All!$S412)</f>
        <v>015356481</v>
      </c>
      <c r="P411" s="7" t="str">
        <f>IF([1]All!$V412=0,"",[1]All!$V412)</f>
        <v>0000020463</v>
      </c>
      <c r="Q411" s="3" t="str">
        <f t="shared" si="41"/>
        <v>$204.63</v>
      </c>
      <c r="R411" s="8" t="str">
        <f>IF([1]All!$F412=0,"",[1]All!$F412)</f>
        <v>157B6630</v>
      </c>
    </row>
    <row r="412" spans="1:18">
      <c r="A412" s="7"/>
      <c r="B412" s="3">
        <f t="shared" si="36"/>
        <v>70</v>
      </c>
      <c r="C412" s="3" t="str">
        <f t="shared" si="37"/>
        <v>F</v>
      </c>
      <c r="D412" s="9" t="str">
        <f t="shared" si="38"/>
        <v>MIL-001-464</v>
      </c>
      <c r="E412" s="3" t="str">
        <f t="shared" si="39"/>
        <v>CCWA  MIL-001-464</v>
      </c>
      <c r="F412" s="10" t="str">
        <f t="shared" si="40"/>
        <v>PCCN: CRGARM:-:PLISN: CCWA :-:PCC: TIT :-: CAGE: 0UJB5:-:PART NUMBER: MIL-001-464:-:NOMENCLATURE: SLIDE, DIRECTIONAL :-:PRICE: $171.93:-:UNIQUE MODS: NO:-:PROPRIETARILY MFG FOR OEM: NO:-: :-: :-: :-:NSN: 4820015738751 :-: NHA: 157B6630 :-: NHA NSN: 4820015356481</v>
      </c>
      <c r="G412" s="8" t="str">
        <f>IF([1]All!$B413="","",[1]All!$B413)</f>
        <v xml:space="preserve">CCWA </v>
      </c>
      <c r="H412" s="8"/>
      <c r="I412" s="8" t="str">
        <f>IF([1]All!$D413=0,"",[1]All!$D413)</f>
        <v>F</v>
      </c>
      <c r="J412" s="8" t="str">
        <f>IF([1]All!$E413=0,"",[1]All!$E413)</f>
        <v>0UJB5</v>
      </c>
      <c r="K412" s="8" t="s">
        <v>311</v>
      </c>
      <c r="L412" s="11" t="str">
        <f>IF([1]All!$L413=0,"",[1]All!$L413)</f>
        <v xml:space="preserve">SLIDE, DIRECTIONAL </v>
      </c>
      <c r="M412" s="7" t="str">
        <f>IF([1]All!$AJ413=0,"",[1]All!$AJ413)</f>
        <v xml:space="preserve">CCQE </v>
      </c>
      <c r="N412" s="7" t="str">
        <f>IF([1]All!$R413=0,"",[1]All!$R413)</f>
        <v>4820</v>
      </c>
      <c r="O412" s="7" t="str">
        <f>IF([1]All!$S413=0,"",[1]All!$S413)</f>
        <v>015738751</v>
      </c>
      <c r="P412" s="7" t="str">
        <f>IF([1]All!$V413=0,"",[1]All!$V413)</f>
        <v>0000017193</v>
      </c>
      <c r="Q412" s="3" t="str">
        <f t="shared" si="41"/>
        <v>$171.93</v>
      </c>
      <c r="R412" s="8" t="str">
        <f>IF([1]All!$F413=0,"",[1]All!$F413)</f>
        <v>MIL-001-464</v>
      </c>
    </row>
    <row r="413" spans="1:18">
      <c r="A413" s="7"/>
      <c r="B413" s="3">
        <f t="shared" si="36"/>
        <v>70</v>
      </c>
      <c r="C413" s="3" t="str">
        <f t="shared" si="37"/>
        <v>F</v>
      </c>
      <c r="D413" s="9" t="str">
        <f t="shared" si="38"/>
        <v>MIL-001-465</v>
      </c>
      <c r="E413" s="3" t="str">
        <f t="shared" si="39"/>
        <v>CC16  MIL-001-465</v>
      </c>
      <c r="F413" s="10" t="str">
        <f t="shared" si="40"/>
        <v>PCCN: CRGARM:-:PLISN: CC16 :-:PCC: TIT :-: CAGE: 0UJB5:-:PART NUMBER: MIL-001-465:-:NOMENCLATURE: BAR SHOCK, VALVE:-:PRICE: $70.31:-:UNIQUE MODS: NO:-:PROPRIETARILY MFG FOR OEM: NO:-: :-: :-: :-:NSN: 4820015738752 :-: NHA: 157B6630 :-: NHA NSN: 4820015356481</v>
      </c>
      <c r="G413" s="8" t="str">
        <f>IF([1]All!$B414="","",[1]All!$B414)</f>
        <v xml:space="preserve">CC16 </v>
      </c>
      <c r="H413" s="8"/>
      <c r="I413" s="8" t="str">
        <f>IF([1]All!$D414=0,"",[1]All!$D414)</f>
        <v>F</v>
      </c>
      <c r="J413" s="8" t="str">
        <f>IF([1]All!$E414=0,"",[1]All!$E414)</f>
        <v>0UJB5</v>
      </c>
      <c r="K413" s="8" t="s">
        <v>312</v>
      </c>
      <c r="L413" s="11" t="str">
        <f>IF([1]All!$L414=0,"",[1]All!$L414)</f>
        <v>BAR SHOCK, VALVE</v>
      </c>
      <c r="M413" s="7" t="str">
        <f>IF([1]All!$AJ414=0,"",[1]All!$AJ414)</f>
        <v xml:space="preserve">CCQE </v>
      </c>
      <c r="N413" s="7" t="str">
        <f>IF([1]All!$R414=0,"",[1]All!$R414)</f>
        <v>4820</v>
      </c>
      <c r="O413" s="7" t="str">
        <f>IF([1]All!$S414=0,"",[1]All!$S414)</f>
        <v>015738752</v>
      </c>
      <c r="P413" s="7" t="str">
        <f>IF([1]All!$V414=0,"",[1]All!$V414)</f>
        <v>0000007031</v>
      </c>
      <c r="Q413" s="3" t="str">
        <f t="shared" si="41"/>
        <v>$70.31</v>
      </c>
      <c r="R413" s="8" t="str">
        <f>IF([1]All!$F414=0,"",[1]All!$F414)</f>
        <v>MIL-001-465</v>
      </c>
    </row>
    <row r="414" spans="1:18">
      <c r="A414" s="7"/>
      <c r="B414" s="3">
        <f t="shared" si="36"/>
        <v>70</v>
      </c>
      <c r="C414" s="3" t="str">
        <f t="shared" si="37"/>
        <v>F</v>
      </c>
      <c r="D414" s="9" t="str">
        <f t="shared" si="38"/>
        <v>6HR775</v>
      </c>
      <c r="E414" s="3" t="str">
        <f t="shared" si="39"/>
        <v>CC72  6HR775</v>
      </c>
      <c r="F414" s="10" t="str">
        <f t="shared" si="40"/>
        <v>PCCN: CRGARM:-:PLISN: CC72 :-:PCC: TIT :-: CAGE: 75Q65:-:PART NUMBER: 6HR775:-:NOMENCLATURE: PARTS KIT, SEAL REP:-:PRICE: $9.12:-:UNIQUE MODS: NO:-:PROPRIETARILY MFG FOR OEM: NO:-: :-: :-: :-:NSN: 5330014313095 :-: NHA: 157B6630 :-: NHA NSN: 4820015356481</v>
      </c>
      <c r="G414" s="8" t="str">
        <f>IF([1]All!$B415="","",[1]All!$B415)</f>
        <v xml:space="preserve">CC72 </v>
      </c>
      <c r="H414" s="8"/>
      <c r="I414" s="8" t="str">
        <f>IF([1]All!$D415=0,"",[1]All!$D415)</f>
        <v>F</v>
      </c>
      <c r="J414" s="8" t="str">
        <f>IF([1]All!$E415=0,"",[1]All!$E415)</f>
        <v>75Q65</v>
      </c>
      <c r="K414" s="8" t="s">
        <v>313</v>
      </c>
      <c r="L414" s="11" t="str">
        <f>IF([1]All!$L415=0,"",[1]All!$L415)</f>
        <v>PARTS KIT, SEAL REP</v>
      </c>
      <c r="M414" s="7" t="str">
        <f>IF([1]All!$AJ415=0,"",[1]All!$AJ415)</f>
        <v xml:space="preserve">CCQE </v>
      </c>
      <c r="N414" s="7" t="str">
        <f>IF([1]All!$R415=0,"",[1]All!$R415)</f>
        <v>5330</v>
      </c>
      <c r="O414" s="7" t="str">
        <f>IF([1]All!$S415=0,"",[1]All!$S415)</f>
        <v>014313095</v>
      </c>
      <c r="P414" s="7" t="str">
        <f>IF([1]All!$V415=0,"",[1]All!$V415)</f>
        <v>0000000912</v>
      </c>
      <c r="Q414" s="3" t="str">
        <f t="shared" si="41"/>
        <v>$9.12</v>
      </c>
      <c r="R414" s="8" t="str">
        <f>IF([1]All!$F415=0,"",[1]All!$F415)</f>
        <v>6HR775</v>
      </c>
    </row>
    <row r="415" spans="1:18">
      <c r="A415" s="7"/>
      <c r="B415" s="3">
        <f t="shared" si="36"/>
        <v>70</v>
      </c>
      <c r="C415" s="3" t="str">
        <f t="shared" si="37"/>
        <v>F</v>
      </c>
      <c r="D415" s="9" t="str">
        <f t="shared" si="38"/>
        <v>MIL-001-466</v>
      </c>
      <c r="E415" s="3" t="str">
        <f t="shared" si="39"/>
        <v>CDDY  MIL-001-466</v>
      </c>
      <c r="F415" s="10" t="str">
        <f t="shared" si="40"/>
        <v>PCCN: CRGARM:-:PLISN: CDDY :-:PCC: TIT :-: CAGE: 0UJB5:-:PART NUMBER: MIL-001-466:-:NOMENCLATURE: VALVE, LINEAR, DIRE:-:PRICE: $139.71:-:UNIQUE MODS: NO:-:PROPRIETARILY MFG FOR OEM: NO:-: :-: :-: :-:NSN: 4820015738754 :-: NHA: 157B6630 :-: NHA NSN: 4820015356481</v>
      </c>
      <c r="G415" s="8" t="str">
        <f>IF([1]All!$B416="","",[1]All!$B416)</f>
        <v xml:space="preserve">CDDY </v>
      </c>
      <c r="H415" s="8"/>
      <c r="I415" s="8" t="str">
        <f>IF([1]All!$D416=0,"",[1]All!$D416)</f>
        <v>F</v>
      </c>
      <c r="J415" s="8" t="str">
        <f>IF([1]All!$E416=0,"",[1]All!$E416)</f>
        <v>0UJB5</v>
      </c>
      <c r="K415" s="8" t="s">
        <v>314</v>
      </c>
      <c r="L415" s="11" t="str">
        <f>IF([1]All!$L416=0,"",[1]All!$L416)</f>
        <v>VALVE, LINEAR, DIRE</v>
      </c>
      <c r="M415" s="7" t="str">
        <f>IF([1]All!$AJ416=0,"",[1]All!$AJ416)</f>
        <v xml:space="preserve">CCQE </v>
      </c>
      <c r="N415" s="7" t="str">
        <f>IF([1]All!$R416=0,"",[1]All!$R416)</f>
        <v>4820</v>
      </c>
      <c r="O415" s="7" t="str">
        <f>IF([1]All!$S416=0,"",[1]All!$S416)</f>
        <v>015738754</v>
      </c>
      <c r="P415" s="7" t="str">
        <f>IF([1]All!$V416=0,"",[1]All!$V416)</f>
        <v>0000013971</v>
      </c>
      <c r="Q415" s="3" t="str">
        <f t="shared" si="41"/>
        <v>$139.71</v>
      </c>
      <c r="R415" s="8" t="str">
        <f>IF([1]All!$F416=0,"",[1]All!$F416)</f>
        <v>MIL-001-466</v>
      </c>
    </row>
    <row r="416" spans="1:18">
      <c r="A416" s="7"/>
      <c r="B416" s="3">
        <f t="shared" si="36"/>
        <v>70</v>
      </c>
      <c r="C416" s="3" t="str">
        <f t="shared" si="37"/>
        <v>F</v>
      </c>
      <c r="D416" s="9" t="str">
        <f t="shared" si="38"/>
        <v>MIL-001-467</v>
      </c>
      <c r="E416" s="3" t="str">
        <f t="shared" si="39"/>
        <v>CDKU  MIL-001-467</v>
      </c>
      <c r="F416" s="10" t="str">
        <f t="shared" si="40"/>
        <v>PCCN: CRGARM:-:PLISN: CDKU :-:PCC: TIT :-: CAGE: 0UJB5:-:PART NUMBER: MIL-001-467:-:NOMENCLATURE: VALVE, ANTI-CAVITAT:-:PRICE: $28.21:-:UNIQUE MODS: NO:-:PROPRIETARILY MFG FOR OEM: NO:-: :-: :-: :-:NSN: 4820015738753 :-: NHA: 157B6630 :-: NHA NSN: 4820015356481</v>
      </c>
      <c r="G416" s="8" t="str">
        <f>IF([1]All!$B417="","",[1]All!$B417)</f>
        <v xml:space="preserve">CDKU </v>
      </c>
      <c r="H416" s="8"/>
      <c r="I416" s="8" t="str">
        <f>IF([1]All!$D417=0,"",[1]All!$D417)</f>
        <v>F</v>
      </c>
      <c r="J416" s="8" t="str">
        <f>IF([1]All!$E417=0,"",[1]All!$E417)</f>
        <v>0UJB5</v>
      </c>
      <c r="K416" s="8" t="s">
        <v>315</v>
      </c>
      <c r="L416" s="11" t="str">
        <f>IF([1]All!$L417=0,"",[1]All!$L417)</f>
        <v>VALVE, ANTI-CAVITAT</v>
      </c>
      <c r="M416" s="7" t="str">
        <f>IF([1]All!$AJ417=0,"",[1]All!$AJ417)</f>
        <v xml:space="preserve">CCQE </v>
      </c>
      <c r="N416" s="7" t="str">
        <f>IF([1]All!$R417=0,"",[1]All!$R417)</f>
        <v>4820</v>
      </c>
      <c r="O416" s="7" t="str">
        <f>IF([1]All!$S417=0,"",[1]All!$S417)</f>
        <v>015738753</v>
      </c>
      <c r="P416" s="7" t="str">
        <f>IF([1]All!$V417=0,"",[1]All!$V417)</f>
        <v>0000002821</v>
      </c>
      <c r="Q416" s="3" t="str">
        <f t="shared" si="41"/>
        <v>$28.21</v>
      </c>
      <c r="R416" s="8" t="str">
        <f>IF([1]All!$F417=0,"",[1]All!$F417)</f>
        <v>MIL-001-467</v>
      </c>
    </row>
    <row r="417" spans="1:18">
      <c r="A417" s="7"/>
      <c r="B417" s="3">
        <f t="shared" si="36"/>
        <v>70</v>
      </c>
      <c r="C417" s="3" t="str">
        <f t="shared" si="37"/>
        <v>F</v>
      </c>
      <c r="D417" s="9" t="str">
        <f t="shared" si="38"/>
        <v>MIL-001-468</v>
      </c>
      <c r="E417" s="3" t="str">
        <f t="shared" si="39"/>
        <v>CDRQ  MIL-001-468</v>
      </c>
      <c r="F417" s="10" t="str">
        <f t="shared" si="40"/>
        <v>PCCN: CRGARM:-:PLISN: CDRQ :-:PCC: TIT :-: CAGE: 0UJB5:-:PART NUMBER: MIL-001-468:-:NOMENCLATURE: BAR SHOCK, VALVE:-:PRICE: $90.71:-:UNIQUE MODS: NO:-:PROPRIETARILY MFG FOR OEM: NO:-: :-: :-: :-:NSN: 4820015738755 :-: NHA: 157B6630 :-: NHA NSN: 4820015356481</v>
      </c>
      <c r="G417" s="8" t="str">
        <f>IF([1]All!$B418="","",[1]All!$B418)</f>
        <v xml:space="preserve">CDRQ </v>
      </c>
      <c r="H417" s="8"/>
      <c r="I417" s="8" t="str">
        <f>IF([1]All!$D418=0,"",[1]All!$D418)</f>
        <v>F</v>
      </c>
      <c r="J417" s="8" t="str">
        <f>IF([1]All!$E418=0,"",[1]All!$E418)</f>
        <v>0UJB5</v>
      </c>
      <c r="K417" s="8" t="s">
        <v>316</v>
      </c>
      <c r="L417" s="11" t="str">
        <f>IF([1]All!$L418=0,"",[1]All!$L418)</f>
        <v>BAR SHOCK, VALVE</v>
      </c>
      <c r="M417" s="7" t="str">
        <f>IF([1]All!$AJ418=0,"",[1]All!$AJ418)</f>
        <v xml:space="preserve">CCQE </v>
      </c>
      <c r="N417" s="7" t="str">
        <f>IF([1]All!$R418=0,"",[1]All!$R418)</f>
        <v>4820</v>
      </c>
      <c r="O417" s="7" t="str">
        <f>IF([1]All!$S418=0,"",[1]All!$S418)</f>
        <v>015738755</v>
      </c>
      <c r="P417" s="7" t="str">
        <f>IF([1]All!$V418=0,"",[1]All!$V418)</f>
        <v>0000009071</v>
      </c>
      <c r="Q417" s="3" t="str">
        <f t="shared" si="41"/>
        <v>$90.71</v>
      </c>
      <c r="R417" s="8" t="str">
        <f>IF([1]All!$F418=0,"",[1]All!$F418)</f>
        <v>MIL-001-468</v>
      </c>
    </row>
    <row r="418" spans="1:18">
      <c r="A418" s="7"/>
      <c r="B418" s="3">
        <f t="shared" si="36"/>
        <v>69</v>
      </c>
      <c r="C418" s="3" t="str">
        <f t="shared" si="37"/>
        <v>E</v>
      </c>
      <c r="D418" s="9" t="str">
        <f t="shared" si="38"/>
        <v>157B6600</v>
      </c>
      <c r="E418" s="3" t="str">
        <f t="shared" si="39"/>
        <v>CDXL  157B6600</v>
      </c>
      <c r="F418" s="10" t="str">
        <f t="shared" si="40"/>
        <v>PCCN: CRGARM:-:PLISN: CDXL :-:PCC: TIT :-: CAGE: 24976:-:PART NUMBER: 157B6600:-:NOMENCLATURE: BODY, VALVE:-:PRICE: $267.94:-:UNIQUE MODS: NO:-:PROPRIETARILY MFG FOR OEM: NO:-: :-: :-: :-:NSN: 4810016283940 :-: NHA: MIL-001-400 :-: NHA NSN: 4810016005302</v>
      </c>
      <c r="G418" s="8" t="str">
        <f>IF([1]All!$B419="","",[1]All!$B419)</f>
        <v xml:space="preserve">CDXL </v>
      </c>
      <c r="H418" s="8"/>
      <c r="I418" s="8" t="str">
        <f>IF([1]All!$D419=0,"",[1]All!$D419)</f>
        <v>E</v>
      </c>
      <c r="J418" s="8" t="str">
        <f>IF([1]All!$E419=0,"",[1]All!$E419)</f>
        <v>24976</v>
      </c>
      <c r="K418" s="8" t="s">
        <v>317</v>
      </c>
      <c r="L418" s="11" t="str">
        <f>IF([1]All!$L419=0,"",[1]All!$L419)</f>
        <v>BODY, VALVE</v>
      </c>
      <c r="M418" s="7" t="str">
        <f>IF([1]All!$AJ419=0,"",[1]All!$AJ419)</f>
        <v xml:space="preserve">CA5G </v>
      </c>
      <c r="N418" s="7" t="str">
        <f>IF([1]All!$R419=0,"",[1]All!$R419)</f>
        <v>4810</v>
      </c>
      <c r="O418" s="7" t="str">
        <f>IF([1]All!$S419=0,"",[1]All!$S419)</f>
        <v>016283940</v>
      </c>
      <c r="P418" s="7" t="str">
        <f>IF([1]All!$V419=0,"",[1]All!$V419)</f>
        <v>0000026794</v>
      </c>
      <c r="Q418" s="3" t="str">
        <f t="shared" si="41"/>
        <v>$267.94</v>
      </c>
      <c r="R418" s="8" t="str">
        <f>IF([1]All!$F419=0,"",[1]All!$F419)</f>
        <v>157B6600</v>
      </c>
    </row>
    <row r="419" spans="1:18">
      <c r="A419" s="7"/>
      <c r="B419" s="3">
        <f t="shared" si="36"/>
        <v>70</v>
      </c>
      <c r="C419" s="3" t="str">
        <f t="shared" si="37"/>
        <v>F</v>
      </c>
      <c r="D419" s="9" t="str">
        <f t="shared" si="38"/>
        <v>6HR775</v>
      </c>
      <c r="E419" s="3" t="str">
        <f t="shared" si="39"/>
        <v>CDZL  6HR775</v>
      </c>
      <c r="F419" s="10" t="str">
        <f t="shared" si="40"/>
        <v>PCCN: CRGARM:-:PLISN: CDZL :-:PCC: TIT :-: CAGE: 75Q65:-:PART NUMBER: 6HR775:-:NOMENCLATURE: PARTS KIT, SEAL REP:-:PRICE: $9.12:-:UNIQUE MODS: NO:-:PROPRIETARILY MFG FOR OEM: NO:-: :-: :-: :-:NSN: 5330014313095 :-: NHA: 157B6600 :-: NHA NSN: 4810016283940</v>
      </c>
      <c r="G419" s="8" t="str">
        <f>IF([1]All!$B420="","",[1]All!$B420)</f>
        <v xml:space="preserve">CDZL </v>
      </c>
      <c r="H419" s="8"/>
      <c r="I419" s="8" t="str">
        <f>IF([1]All!$D420=0,"",[1]All!$D420)</f>
        <v>F</v>
      </c>
      <c r="J419" s="8" t="str">
        <f>IF([1]All!$E420=0,"",[1]All!$E420)</f>
        <v>75Q65</v>
      </c>
      <c r="K419" s="8" t="s">
        <v>313</v>
      </c>
      <c r="L419" s="11" t="str">
        <f>IF([1]All!$L420=0,"",[1]All!$L420)</f>
        <v>PARTS KIT, SEAL REP</v>
      </c>
      <c r="M419" s="7" t="str">
        <f>IF([1]All!$AJ420=0,"",[1]All!$AJ420)</f>
        <v xml:space="preserve">CDXL </v>
      </c>
      <c r="N419" s="7" t="str">
        <f>IF([1]All!$R420=0,"",[1]All!$R420)</f>
        <v>5330</v>
      </c>
      <c r="O419" s="7" t="str">
        <f>IF([1]All!$S420=0,"",[1]All!$S420)</f>
        <v>014313095</v>
      </c>
      <c r="P419" s="7" t="str">
        <f>IF([1]All!$V420=0,"",[1]All!$V420)</f>
        <v>0000000912</v>
      </c>
      <c r="Q419" s="3" t="str">
        <f t="shared" si="41"/>
        <v>$9.12</v>
      </c>
      <c r="R419" s="8" t="str">
        <f>IF([1]All!$F420=0,"",[1]All!$F420)</f>
        <v>6HR775</v>
      </c>
    </row>
    <row r="420" spans="1:18">
      <c r="A420" s="7"/>
      <c r="B420" s="3">
        <f t="shared" si="36"/>
        <v>70</v>
      </c>
      <c r="C420" s="3" t="str">
        <f t="shared" si="37"/>
        <v>F</v>
      </c>
      <c r="D420" s="9" t="str">
        <f t="shared" si="38"/>
        <v>157B7105</v>
      </c>
      <c r="E420" s="3" t="str">
        <f t="shared" si="39"/>
        <v>CD3G  157B7105</v>
      </c>
      <c r="F420" s="10" t="str">
        <f t="shared" si="40"/>
        <v>PCCN: CRGARM:-:PLISN: CD3G :-:PCC: TIT :-: CAGE: 8Z296:-:PART NUMBER: 157B7105:-:NOMENCLATURE: SLIDE, DIRECTIONAL :-:PRICE: $107.49:-:UNIQUE MODS: NO:-:PROPRIETARILY MFG FOR OEM: NO:-: :-: :-: :-: :-: NHA: 157B6600 :-: NHA NSN: 4810016283940</v>
      </c>
      <c r="G420" s="8" t="str">
        <f>IF([1]All!$B421="","",[1]All!$B421)</f>
        <v xml:space="preserve">CD3G </v>
      </c>
      <c r="H420" s="8"/>
      <c r="I420" s="8" t="str">
        <f>IF([1]All!$D421=0,"",[1]All!$D421)</f>
        <v>F</v>
      </c>
      <c r="J420" s="8" t="str">
        <f>IF([1]All!$E421=0,"",[1]All!$E421)</f>
        <v>8Z296</v>
      </c>
      <c r="K420" s="8" t="s">
        <v>437</v>
      </c>
      <c r="L420" s="11" t="str">
        <f>IF([1]All!$L421=0,"",[1]All!$L421)</f>
        <v xml:space="preserve">SLIDE, DIRECTIONAL </v>
      </c>
      <c r="M420" s="7" t="str">
        <f>IF([1]All!$AJ421=0,"",[1]All!$AJ421)</f>
        <v xml:space="preserve">CDXL </v>
      </c>
      <c r="N420" s="7" t="str">
        <f>IF([1]All!$R421=0,"",[1]All!$R421)</f>
        <v/>
      </c>
      <c r="O420" s="7" t="str">
        <f>IF([1]All!$S421=0,"",[1]All!$S421)</f>
        <v/>
      </c>
      <c r="P420" s="7" t="str">
        <f>IF([1]All!$V421=0,"",[1]All!$V421)</f>
        <v>0000010749</v>
      </c>
      <c r="Q420" s="3" t="str">
        <f t="shared" si="41"/>
        <v>$107.49</v>
      </c>
      <c r="R420" s="8" t="str">
        <f>IF([1]All!$F421=0,"",[1]All!$F421)</f>
        <v>157B7105</v>
      </c>
    </row>
    <row r="421" spans="1:18">
      <c r="A421" s="7"/>
      <c r="B421" s="3">
        <f t="shared" si="36"/>
        <v>70</v>
      </c>
      <c r="C421" s="3" t="str">
        <f t="shared" si="37"/>
        <v>F</v>
      </c>
      <c r="D421" s="9" t="str">
        <f t="shared" si="38"/>
        <v>MIL-001-470</v>
      </c>
      <c r="E421" s="3" t="str">
        <f t="shared" si="39"/>
        <v>CD9C  MIL-001-470</v>
      </c>
      <c r="F421" s="10" t="str">
        <f t="shared" si="40"/>
        <v>PCCN: CRGARM:-:PLISN: CD9C :-:PCC: TIT :-: CAGE: 0UJB5:-:PART NUMBER: MIL-001-470:-:NOMENCLATURE: SLIDE, DIRECTIONAL :-:PRICE: $139.71:-:UNIQUE MODS: NO:-:PROPRIETARILY MFG FOR OEM: NO:-: :-: :-: :-:NSN: 4820015738757 :-: NHA: 157B6600 :-: NHA NSN: 4810016283940</v>
      </c>
      <c r="G421" s="8" t="str">
        <f>IF([1]All!$B422="","",[1]All!$B422)</f>
        <v xml:space="preserve">CD9C </v>
      </c>
      <c r="H421" s="8"/>
      <c r="I421" s="8" t="str">
        <f>IF([1]All!$D422=0,"",[1]All!$D422)</f>
        <v>F</v>
      </c>
      <c r="J421" s="8" t="str">
        <f>IF([1]All!$E422=0,"",[1]All!$E422)</f>
        <v>0UJB5</v>
      </c>
      <c r="K421" s="8" t="s">
        <v>318</v>
      </c>
      <c r="L421" s="11" t="str">
        <f>IF([1]All!$L422=0,"",[1]All!$L422)</f>
        <v xml:space="preserve">SLIDE, DIRECTIONAL </v>
      </c>
      <c r="M421" s="7" t="str">
        <f>IF([1]All!$AJ422=0,"",[1]All!$AJ422)</f>
        <v xml:space="preserve">CDXL </v>
      </c>
      <c r="N421" s="7" t="str">
        <f>IF([1]All!$R422=0,"",[1]All!$R422)</f>
        <v>4820</v>
      </c>
      <c r="O421" s="7" t="str">
        <f>IF([1]All!$S422=0,"",[1]All!$S422)</f>
        <v>015738757</v>
      </c>
      <c r="P421" s="7" t="str">
        <f>IF([1]All!$V422=0,"",[1]All!$V422)</f>
        <v>0000013971</v>
      </c>
      <c r="Q421" s="3" t="str">
        <f t="shared" si="41"/>
        <v>$139.71</v>
      </c>
      <c r="R421" s="8" t="str">
        <f>IF([1]All!$F422=0,"",[1]All!$F422)</f>
        <v>MIL-001-470</v>
      </c>
    </row>
    <row r="422" spans="1:18">
      <c r="A422" s="7"/>
      <c r="B422" s="3">
        <f t="shared" si="36"/>
        <v>69</v>
      </c>
      <c r="C422" s="3" t="str">
        <f t="shared" si="37"/>
        <v>E</v>
      </c>
      <c r="D422" s="9" t="str">
        <f t="shared" si="38"/>
        <v>MIL-001-471</v>
      </c>
      <c r="E422" s="3" t="str">
        <f t="shared" si="39"/>
        <v>CEE8  MIL-001-471</v>
      </c>
      <c r="F422" s="10" t="str">
        <f t="shared" si="40"/>
        <v>PCCN: CRGARM:-:PLISN: CEE8 :-:PCC: TIT :-: CAGE: 0UJB5:-:PART NUMBER: MIL-001-471:-:NOMENCLATURE: VALVE, CHECK:-:PRICE: $861.82:-:UNIQUE MODS: NO:-:PROPRIETARILY MFG FOR OEM: NO:-: :-: :-: :-:NSN: 4820015738758 :-: NHA: MIL-001-400 :-: NHA NSN: 4810016005302</v>
      </c>
      <c r="G422" s="8" t="str">
        <f>IF([1]All!$B423="","",[1]All!$B423)</f>
        <v xml:space="preserve">CEE8 </v>
      </c>
      <c r="H422" s="8"/>
      <c r="I422" s="8" t="str">
        <f>IF([1]All!$D423=0,"",[1]All!$D423)</f>
        <v>E</v>
      </c>
      <c r="J422" s="8" t="str">
        <f>IF([1]All!$E423=0,"",[1]All!$E423)</f>
        <v>0UJB5</v>
      </c>
      <c r="K422" s="8" t="s">
        <v>319</v>
      </c>
      <c r="L422" s="11" t="str">
        <f>IF([1]All!$L423=0,"",[1]All!$L423)</f>
        <v>VALVE, CHECK</v>
      </c>
      <c r="M422" s="7" t="str">
        <f>IF([1]All!$AJ423=0,"",[1]All!$AJ423)</f>
        <v xml:space="preserve">CA5G </v>
      </c>
      <c r="N422" s="7" t="str">
        <f>IF([1]All!$R423=0,"",[1]All!$R423)</f>
        <v>4820</v>
      </c>
      <c r="O422" s="7" t="str">
        <f>IF([1]All!$S423=0,"",[1]All!$S423)</f>
        <v>015738758</v>
      </c>
      <c r="P422" s="7" t="str">
        <f>IF([1]All!$V423=0,"",[1]All!$V423)</f>
        <v>0000086182</v>
      </c>
      <c r="Q422" s="3" t="str">
        <f t="shared" si="41"/>
        <v>$861.82</v>
      </c>
      <c r="R422" s="8" t="str">
        <f>IF([1]All!$F423=0,"",[1]All!$F423)</f>
        <v>MIL-001-471</v>
      </c>
    </row>
    <row r="423" spans="1:18">
      <c r="A423" s="7"/>
      <c r="B423" s="3">
        <f t="shared" si="36"/>
        <v>70</v>
      </c>
      <c r="C423" s="3" t="str">
        <f t="shared" si="37"/>
        <v>F</v>
      </c>
      <c r="D423" s="9" t="str">
        <f t="shared" si="38"/>
        <v>6HR775</v>
      </c>
      <c r="E423" s="3" t="str">
        <f t="shared" si="39"/>
        <v>CEG8  6HR775</v>
      </c>
      <c r="F423" s="10" t="str">
        <f t="shared" si="40"/>
        <v>PCCN: CRGARM:-:PLISN: CEG8 :-:PCC: TIT :-: CAGE: 75Q65:-:PART NUMBER: 6HR775:-:NOMENCLATURE: PARTS KIT, SEAL REP:-:PRICE: $9.12:-:UNIQUE MODS: NO:-:PROPRIETARILY MFG FOR OEM: NO:-: :-: :-: :-:NSN: 5330014313095 :-: NHA: MIL-001-471 :-: NHA NSN: 4820015738758</v>
      </c>
      <c r="G423" s="8" t="str">
        <f>IF([1]All!$B424="","",[1]All!$B424)</f>
        <v xml:space="preserve">CEG8 </v>
      </c>
      <c r="H423" s="8"/>
      <c r="I423" s="8" t="str">
        <f>IF([1]All!$D424=0,"",[1]All!$D424)</f>
        <v>F</v>
      </c>
      <c r="J423" s="8" t="str">
        <f>IF([1]All!$E424=0,"",[1]All!$E424)</f>
        <v>75Q65</v>
      </c>
      <c r="K423" s="8" t="s">
        <v>313</v>
      </c>
      <c r="L423" s="11" t="str">
        <f>IF([1]All!$L424=0,"",[1]All!$L424)</f>
        <v>PARTS KIT, SEAL REP</v>
      </c>
      <c r="M423" s="7" t="str">
        <f>IF([1]All!$AJ424=0,"",[1]All!$AJ424)</f>
        <v xml:space="preserve">CEE8 </v>
      </c>
      <c r="N423" s="7" t="str">
        <f>IF([1]All!$R424=0,"",[1]All!$R424)</f>
        <v>5330</v>
      </c>
      <c r="O423" s="7" t="str">
        <f>IF([1]All!$S424=0,"",[1]All!$S424)</f>
        <v>014313095</v>
      </c>
      <c r="P423" s="7" t="str">
        <f>IF([1]All!$V424=0,"",[1]All!$V424)</f>
        <v>0000000912</v>
      </c>
      <c r="Q423" s="3" t="str">
        <f t="shared" si="41"/>
        <v>$9.12</v>
      </c>
      <c r="R423" s="8" t="str">
        <f>IF([1]All!$F424=0,"",[1]All!$F424)</f>
        <v>6HR775</v>
      </c>
    </row>
    <row r="424" spans="1:18">
      <c r="A424" s="7"/>
      <c r="B424" s="3">
        <f t="shared" si="36"/>
        <v>70</v>
      </c>
      <c r="C424" s="3" t="str">
        <f t="shared" si="37"/>
        <v>F</v>
      </c>
      <c r="D424" s="9" t="str">
        <f t="shared" si="38"/>
        <v>MIL-001-472</v>
      </c>
      <c r="E424" s="3" t="str">
        <f t="shared" si="39"/>
        <v>CEL4  MIL-001-472</v>
      </c>
      <c r="F424" s="10" t="str">
        <f t="shared" si="40"/>
        <v>PCCN: CRGARM:-:PLISN: CEL4 :-:PCC: TIT :-: CAGE: 0UJB5:-:PART NUMBER: MIL-001-472:-:NOMENCLATURE: SLIDE, DIRECTIONAL :-:PRICE: $179.31:-:UNIQUE MODS: NO:-:PROPRIETARILY MFG FOR OEM: NO:-: :-: :-: :-:NSN: 4820015738759 :-: NHA: MIL-001-471 :-: NHA NSN: 4820015738758</v>
      </c>
      <c r="G424" s="8" t="str">
        <f>IF([1]All!$B425="","",[1]All!$B425)</f>
        <v xml:space="preserve">CEL4 </v>
      </c>
      <c r="H424" s="8"/>
      <c r="I424" s="8" t="str">
        <f>IF([1]All!$D425=0,"",[1]All!$D425)</f>
        <v>F</v>
      </c>
      <c r="J424" s="8" t="str">
        <f>IF([1]All!$E425=0,"",[1]All!$E425)</f>
        <v>0UJB5</v>
      </c>
      <c r="K424" s="8" t="s">
        <v>320</v>
      </c>
      <c r="L424" s="11" t="str">
        <f>IF([1]All!$L425=0,"",[1]All!$L425)</f>
        <v xml:space="preserve">SLIDE, DIRECTIONAL </v>
      </c>
      <c r="M424" s="7" t="str">
        <f>IF([1]All!$AJ425=0,"",[1]All!$AJ425)</f>
        <v xml:space="preserve">CEE8 </v>
      </c>
      <c r="N424" s="7" t="str">
        <f>IF([1]All!$R425=0,"",[1]All!$R425)</f>
        <v>4820</v>
      </c>
      <c r="O424" s="7" t="str">
        <f>IF([1]All!$S425=0,"",[1]All!$S425)</f>
        <v>015738759</v>
      </c>
      <c r="P424" s="7" t="str">
        <f>IF([1]All!$V425=0,"",[1]All!$V425)</f>
        <v>0000017931</v>
      </c>
      <c r="Q424" s="3" t="str">
        <f t="shared" si="41"/>
        <v>$179.31</v>
      </c>
      <c r="R424" s="8" t="str">
        <f>IF([1]All!$F425=0,"",[1]All!$F425)</f>
        <v>MIL-001-472</v>
      </c>
    </row>
    <row r="425" spans="1:18">
      <c r="A425" s="7"/>
      <c r="B425" s="3">
        <f t="shared" si="36"/>
        <v>70</v>
      </c>
      <c r="C425" s="3" t="str">
        <f t="shared" si="37"/>
        <v>F</v>
      </c>
      <c r="D425" s="9" t="str">
        <f t="shared" si="38"/>
        <v>157B2190</v>
      </c>
      <c r="E425" s="3" t="str">
        <f t="shared" si="39"/>
        <v>CES0  157B2190</v>
      </c>
      <c r="F425" s="10" t="str">
        <f t="shared" si="40"/>
        <v>PCCN: CRGARM:-:PLISN: CES0 :-:PCC: TIT :-: CAGE: 8Z296:-:PART NUMBER: 157B2190:-:NOMENCLATURE: VALVE,SAFETY RELIEF:-:PRICE: $69.83:-:UNIQUE MODS: NO:-:PROPRIETARILY MFG FOR OEM: NO:-: :-: :-: :-: :-: NHA: MIL-001-471 :-: NHA NSN: 4820015738758</v>
      </c>
      <c r="G425" s="8" t="str">
        <f>IF([1]All!$B426="","",[1]All!$B426)</f>
        <v xml:space="preserve">CES0 </v>
      </c>
      <c r="H425" s="8"/>
      <c r="I425" s="8" t="str">
        <f>IF([1]All!$D426=0,"",[1]All!$D426)</f>
        <v>F</v>
      </c>
      <c r="J425" s="8" t="str">
        <f>IF([1]All!$E426=0,"",[1]All!$E426)</f>
        <v>8Z296</v>
      </c>
      <c r="K425" s="8" t="s">
        <v>438</v>
      </c>
      <c r="L425" s="11" t="str">
        <f>IF([1]All!$L426=0,"",[1]All!$L426)</f>
        <v>VALVE,SAFETY RELIEF</v>
      </c>
      <c r="M425" s="7" t="str">
        <f>IF([1]All!$AJ426=0,"",[1]All!$AJ426)</f>
        <v xml:space="preserve">CEE8 </v>
      </c>
      <c r="N425" s="7" t="str">
        <f>IF([1]All!$R426=0,"",[1]All!$R426)</f>
        <v/>
      </c>
      <c r="O425" s="7" t="str">
        <f>IF([1]All!$S426=0,"",[1]All!$S426)</f>
        <v/>
      </c>
      <c r="P425" s="7" t="str">
        <f>IF([1]All!$V426=0,"",[1]All!$V426)</f>
        <v>0000006983</v>
      </c>
      <c r="Q425" s="3" t="str">
        <f t="shared" si="41"/>
        <v>$69.83</v>
      </c>
      <c r="R425" s="8" t="str">
        <f>IF([1]All!$F426=0,"",[1]All!$F426)</f>
        <v>157B2190</v>
      </c>
    </row>
    <row r="426" spans="1:18">
      <c r="A426" s="7"/>
      <c r="B426" s="3">
        <f t="shared" si="36"/>
        <v>69</v>
      </c>
      <c r="C426" s="3" t="str">
        <f t="shared" si="37"/>
        <v>E</v>
      </c>
      <c r="D426" s="9" t="str">
        <f t="shared" si="38"/>
        <v>157B2020</v>
      </c>
      <c r="E426" s="3" t="str">
        <f t="shared" si="39"/>
        <v>CEYW  157B2020</v>
      </c>
      <c r="F426" s="10" t="str">
        <f t="shared" si="40"/>
        <v>PCCN: CRGARM:-:PLISN: CEYW :-:PCC: TIT :-: CAGE: 24976:-:PART NUMBER: 157B2020:-:NOMENCLATURE: BODY, SECTION, WORK:-:PRICE: $267.94:-:UNIQUE MODS: NO:-:PROPRIETARILY MFG FOR OEM: NO:-: :-: :-: :-:NSN: 4820016283945 :-: NHA: MIL-001-400 :-: NHA NSN: 4810016005302</v>
      </c>
      <c r="G426" s="8" t="str">
        <f>IF([1]All!$B427="","",[1]All!$B427)</f>
        <v xml:space="preserve">CEYW </v>
      </c>
      <c r="H426" s="8"/>
      <c r="I426" s="8" t="str">
        <f>IF([1]All!$D427=0,"",[1]All!$D427)</f>
        <v>E</v>
      </c>
      <c r="J426" s="8" t="str">
        <f>IF([1]All!$E427=0,"",[1]All!$E427)</f>
        <v>24976</v>
      </c>
      <c r="K426" s="8" t="s">
        <v>321</v>
      </c>
      <c r="L426" s="11" t="str">
        <f>IF([1]All!$L427=0,"",[1]All!$L427)</f>
        <v>BODY, SECTION, WORK</v>
      </c>
      <c r="M426" s="7" t="str">
        <f>IF([1]All!$AJ427=0,"",[1]All!$AJ427)</f>
        <v xml:space="preserve">CA5G </v>
      </c>
      <c r="N426" s="7" t="str">
        <f>IF([1]All!$R427=0,"",[1]All!$R427)</f>
        <v>4820</v>
      </c>
      <c r="O426" s="7" t="str">
        <f>IF([1]All!$S427=0,"",[1]All!$S427)</f>
        <v>016283945</v>
      </c>
      <c r="P426" s="7" t="str">
        <f>IF([1]All!$V427=0,"",[1]All!$V427)</f>
        <v>0000026794</v>
      </c>
      <c r="Q426" s="3" t="str">
        <f t="shared" si="41"/>
        <v>$267.94</v>
      </c>
      <c r="R426" s="8" t="str">
        <f>IF([1]All!$F427=0,"",[1]All!$F427)</f>
        <v>157B2020</v>
      </c>
    </row>
    <row r="427" spans="1:18">
      <c r="A427" s="7"/>
      <c r="B427" s="3">
        <f t="shared" si="36"/>
        <v>69</v>
      </c>
      <c r="C427" s="3" t="str">
        <f t="shared" si="37"/>
        <v>E</v>
      </c>
      <c r="D427" s="9" t="str">
        <f t="shared" si="38"/>
        <v>157B8005</v>
      </c>
      <c r="E427" s="3" t="str">
        <f t="shared" si="39"/>
        <v>CE4S  157B8005</v>
      </c>
      <c r="F427" s="10" t="str">
        <f t="shared" si="40"/>
        <v>PCCN: CRGARM:-:PLISN: CE4S :-:PCC: TIT :-: CAGE: 8Z296:-:PART NUMBER: 157B8005:-:NOMENCLATURE: REPAIR KIT,VALVE:-:PRICE: $70.89:-:UNIQUE MODS: NO:-:PROPRIETARILY MFG FOR OEM: NO:-: :-: :-: :-: :-: NHA: MIL-001-400 :-: NHA NSN: 4810016005302</v>
      </c>
      <c r="G427" s="8" t="str">
        <f>IF([1]All!$B428="","",[1]All!$B428)</f>
        <v xml:space="preserve">CE4S </v>
      </c>
      <c r="H427" s="8"/>
      <c r="I427" s="8" t="str">
        <f>IF([1]All!$D428=0,"",[1]All!$D428)</f>
        <v>E</v>
      </c>
      <c r="J427" s="8" t="str">
        <f>IF([1]All!$E428=0,"",[1]All!$E428)</f>
        <v>8Z296</v>
      </c>
      <c r="K427" s="8" t="s">
        <v>439</v>
      </c>
      <c r="L427" s="11" t="str">
        <f>IF([1]All!$L428=0,"",[1]All!$L428)</f>
        <v>REPAIR KIT,VALVE</v>
      </c>
      <c r="M427" s="7" t="str">
        <f>IF([1]All!$AJ428=0,"",[1]All!$AJ428)</f>
        <v xml:space="preserve">CA5G </v>
      </c>
      <c r="N427" s="7" t="str">
        <f>IF([1]All!$R428=0,"",[1]All!$R428)</f>
        <v/>
      </c>
      <c r="O427" s="7" t="str">
        <f>IF([1]All!$S428=0,"",[1]All!$S428)</f>
        <v/>
      </c>
      <c r="P427" s="7" t="str">
        <f>IF([1]All!$V428=0,"",[1]All!$V428)</f>
        <v>0000007089</v>
      </c>
      <c r="Q427" s="3" t="str">
        <f t="shared" si="41"/>
        <v>$70.89</v>
      </c>
      <c r="R427" s="8" t="str">
        <f>IF([1]All!$F428=0,"",[1]All!$F428)</f>
        <v>157B8005</v>
      </c>
    </row>
    <row r="428" spans="1:18">
      <c r="A428" s="7"/>
      <c r="B428" s="3">
        <f t="shared" si="36"/>
        <v>68</v>
      </c>
      <c r="C428" s="3" t="str">
        <f t="shared" si="37"/>
        <v>D</v>
      </c>
      <c r="D428" s="9" t="str">
        <f t="shared" si="38"/>
        <v>202702-10-6S</v>
      </c>
      <c r="E428" s="3" t="str">
        <f t="shared" si="39"/>
        <v>CFAN  202702-10-6S</v>
      </c>
      <c r="F428" s="10" t="str">
        <f t="shared" si="40"/>
        <v>PCCN: CRGARM:-:PLISN: CFAN :-:PCC: TIT :-: CAGE: 01276:-:PART NUMBER: 202702-10-6S:-:NOMENCLATURE: ADAPTER,STRAIGHT,TU:-:PRICE: $2.00:-:UNIQUE MODS: NO:-:PROPRIETARILY MFG FOR OEM: NO:-: :-: :-: :-:NSN: 4730006239673 :-: NHA: MIL-001-072 :-: NHA NSN: 4730015689344</v>
      </c>
      <c r="G428" s="8" t="str">
        <f>IF([1]All!$B429="","",[1]All!$B429)</f>
        <v xml:space="preserve">CFAN </v>
      </c>
      <c r="H428" s="8"/>
      <c r="I428" s="8" t="str">
        <f>IF([1]All!$D429=0,"",[1]All!$D429)</f>
        <v>D</v>
      </c>
      <c r="J428" s="8" t="str">
        <f>IF([1]All!$E429=0,"",[1]All!$E429)</f>
        <v>01276</v>
      </c>
      <c r="K428" s="8" t="s">
        <v>322</v>
      </c>
      <c r="L428" s="11" t="str">
        <f>IF([1]All!$L429=0,"",[1]All!$L429)</f>
        <v>ADAPTER,STRAIGHT,TU</v>
      </c>
      <c r="M428" s="7" t="str">
        <f>IF([1]All!$AJ429=0,"",[1]All!$AJ429)</f>
        <v xml:space="preserve">CAZL </v>
      </c>
      <c r="N428" s="7" t="str">
        <f>IF([1]All!$R429=0,"",[1]All!$R429)</f>
        <v>4730</v>
      </c>
      <c r="O428" s="7" t="str">
        <f>IF([1]All!$S429=0,"",[1]All!$S429)</f>
        <v>006239673</v>
      </c>
      <c r="P428" s="7" t="str">
        <f>IF([1]All!$V429=0,"",[1]All!$V429)</f>
        <v>0000000200</v>
      </c>
      <c r="Q428" s="3" t="str">
        <f t="shared" si="41"/>
        <v>$2.00</v>
      </c>
      <c r="R428" s="8" t="str">
        <f>IF([1]All!$F429=0,"",[1]All!$F429)</f>
        <v>202702-10-6S</v>
      </c>
    </row>
    <row r="429" spans="1:18">
      <c r="A429" s="7"/>
      <c r="B429" s="3">
        <f t="shared" si="36"/>
        <v>68</v>
      </c>
      <c r="C429" s="3" t="str">
        <f t="shared" si="37"/>
        <v>D</v>
      </c>
      <c r="D429" s="9" t="str">
        <f t="shared" si="38"/>
        <v>C5315X8X12</v>
      </c>
      <c r="E429" s="3" t="str">
        <f t="shared" si="39"/>
        <v>CFGJ  C5315X8X12</v>
      </c>
      <c r="F429" s="10" t="str">
        <f t="shared" si="40"/>
        <v>PCCN: CRGARM:-:PLISN: CFGJ :-:PCC: TIT :-: CAGE: 01276:-:PART NUMBER: C5315X8X12:-:NOMENCLATURE: ADAPTER,STRAIGHT,TU:-:PRICE: $3.22:-:UNIQUE MODS: NO:-:PROPRIETARILY MFG FOR OEM: NO:-: :-: :-: :-:NSN: 4730009258039 :-: NHA: MIL-001-072 :-: NHA NSN: 4730015689344</v>
      </c>
      <c r="G429" s="8" t="str">
        <f>IF([1]All!$B430="","",[1]All!$B430)</f>
        <v xml:space="preserve">CFGJ </v>
      </c>
      <c r="H429" s="8"/>
      <c r="I429" s="8" t="str">
        <f>IF([1]All!$D430=0,"",[1]All!$D430)</f>
        <v>D</v>
      </c>
      <c r="J429" s="8" t="str">
        <f>IF([1]All!$E430=0,"",[1]All!$E430)</f>
        <v>01276</v>
      </c>
      <c r="K429" s="8" t="s">
        <v>323</v>
      </c>
      <c r="L429" s="11" t="str">
        <f>IF([1]All!$L430=0,"",[1]All!$L430)</f>
        <v>ADAPTER,STRAIGHT,TU</v>
      </c>
      <c r="M429" s="7" t="str">
        <f>IF([1]All!$AJ430=0,"",[1]All!$AJ430)</f>
        <v xml:space="preserve">CAZL </v>
      </c>
      <c r="N429" s="7" t="str">
        <f>IF([1]All!$R430=0,"",[1]All!$R430)</f>
        <v>4730</v>
      </c>
      <c r="O429" s="7" t="str">
        <f>IF([1]All!$S430=0,"",[1]All!$S430)</f>
        <v>009258039</v>
      </c>
      <c r="P429" s="7" t="str">
        <f>IF([1]All!$V430=0,"",[1]All!$V430)</f>
        <v>0000000322</v>
      </c>
      <c r="Q429" s="3" t="str">
        <f t="shared" si="41"/>
        <v>$3.22</v>
      </c>
      <c r="R429" s="8" t="str">
        <f>IF([1]All!$F430=0,"",[1]All!$F430)</f>
        <v>C5315X8X12</v>
      </c>
    </row>
    <row r="430" spans="1:18">
      <c r="A430" s="7"/>
      <c r="B430" s="3">
        <f t="shared" si="36"/>
        <v>68</v>
      </c>
      <c r="C430" s="3" t="str">
        <f t="shared" si="37"/>
        <v>D</v>
      </c>
      <c r="D430" s="9" t="str">
        <f t="shared" si="38"/>
        <v>3KP468</v>
      </c>
      <c r="E430" s="3" t="str">
        <f t="shared" si="39"/>
        <v>CF52  3KP468</v>
      </c>
      <c r="F430" s="10" t="str">
        <f t="shared" si="40"/>
        <v>PCCN: CRGARM:-:PLISN: CF52 :-:PCC: TIT :-: CAGE: 75Q65:-:PART NUMBER: 3KP468:-:NOMENCLATURE: VALVE PLATE,HYDRAUL:-:PRICE: $100.64:-:UNIQUE MODS: NO:-:PROPRIETARILY MFG FOR OEM: NO:-: :-: :-: :-:NSN: 4320015133113 :-: NHA: MIL-001-072 :-: NHA NSN: 4730015689344</v>
      </c>
      <c r="G430" s="8" t="str">
        <f>IF([1]All!$B431="","",[1]All!$B431)</f>
        <v xml:space="preserve">CF52 </v>
      </c>
      <c r="H430" s="8"/>
      <c r="I430" s="8" t="str">
        <f>IF([1]All!$D431=0,"",[1]All!$D431)</f>
        <v>D</v>
      </c>
      <c r="J430" s="8" t="str">
        <f>IF([1]All!$E431=0,"",[1]All!$E431)</f>
        <v>75Q65</v>
      </c>
      <c r="K430" s="8" t="s">
        <v>301</v>
      </c>
      <c r="L430" s="11" t="str">
        <f>IF([1]All!$L431=0,"",[1]All!$L431)</f>
        <v>VALVE PLATE,HYDRAUL</v>
      </c>
      <c r="M430" s="7" t="str">
        <f>IF([1]All!$AJ431=0,"",[1]All!$AJ431)</f>
        <v xml:space="preserve">CAZL </v>
      </c>
      <c r="N430" s="7" t="str">
        <f>IF([1]All!$R431=0,"",[1]All!$R431)</f>
        <v>4320</v>
      </c>
      <c r="O430" s="7" t="str">
        <f>IF([1]All!$S431=0,"",[1]All!$S431)</f>
        <v>015133113</v>
      </c>
      <c r="P430" s="7" t="str">
        <f>IF([1]All!$V431=0,"",[1]All!$V431)</f>
        <v>0000010064</v>
      </c>
      <c r="Q430" s="3" t="str">
        <f t="shared" si="41"/>
        <v>$100.64</v>
      </c>
      <c r="R430" s="8" t="str">
        <f>IF([1]All!$F431=0,"",[1]All!$F431)</f>
        <v>3KP468</v>
      </c>
    </row>
    <row r="431" spans="1:18">
      <c r="A431" s="7"/>
      <c r="B431" s="3">
        <f t="shared" si="36"/>
        <v>67</v>
      </c>
      <c r="C431" s="3" t="str">
        <f t="shared" si="37"/>
        <v>C</v>
      </c>
      <c r="D431" s="9" t="str">
        <f t="shared" si="38"/>
        <v>MIL-001-1543</v>
      </c>
      <c r="E431" s="3" t="str">
        <f t="shared" si="39"/>
        <v>CGBY  MIL-001-1543</v>
      </c>
      <c r="F431" s="10" t="str">
        <f t="shared" si="40"/>
        <v>PCCN: CRGARM:-:PLISN: CGBY :-:PCC: TIT :-: CAGE: 0UJB5:-:PART NUMBER: MIL-001-1543:-:NOMENCLATURE: CONTROL BOX:-:PRICE: $2150.00:-:UNIQUE MODS: NO:-:PROPRIETARILY MFG FOR OEM: NO:-: :-: :-: :-: :-: NHA: 12574288</v>
      </c>
      <c r="G431" s="8" t="str">
        <f>IF([1]All!$B432="","",[1]All!$B432)</f>
        <v xml:space="preserve">CGBY </v>
      </c>
      <c r="H431" s="8"/>
      <c r="I431" s="8" t="str">
        <f>IF([1]All!$D432=0,"",[1]All!$D432)</f>
        <v>C</v>
      </c>
      <c r="J431" s="8" t="str">
        <f>IF([1]All!$E432=0,"",[1]All!$E432)</f>
        <v>0UJB5</v>
      </c>
      <c r="K431" s="8" t="s">
        <v>324</v>
      </c>
      <c r="L431" s="11" t="str">
        <f>IF([1]All!$L432=0,"",[1]All!$L432)</f>
        <v>CONTROL BOX</v>
      </c>
      <c r="M431" s="7" t="str">
        <f>IF([1]All!$AJ432=0,"",[1]All!$AJ432)</f>
        <v xml:space="preserve">AAF6 </v>
      </c>
      <c r="N431" s="7" t="str">
        <f>IF([1]All!$R432=0,"",[1]All!$R432)</f>
        <v/>
      </c>
      <c r="O431" s="7" t="str">
        <f>IF([1]All!$S432=0,"",[1]All!$S432)</f>
        <v/>
      </c>
      <c r="P431" s="7" t="str">
        <f>IF([1]All!$V432=0,"",[1]All!$V432)</f>
        <v>0000215000</v>
      </c>
      <c r="Q431" s="3" t="str">
        <f t="shared" si="41"/>
        <v>$2150.00</v>
      </c>
      <c r="R431" s="8" t="str">
        <f>IF([1]All!$F432=0,"",[1]All!$F432)</f>
        <v>MIL-001-1543</v>
      </c>
    </row>
    <row r="432" spans="1:18">
      <c r="A432" s="7"/>
      <c r="B432" s="3">
        <f t="shared" si="36"/>
        <v>68</v>
      </c>
      <c r="C432" s="3" t="str">
        <f t="shared" si="37"/>
        <v>D</v>
      </c>
      <c r="D432" s="9" t="str">
        <f t="shared" si="38"/>
        <v>MIL-001-1140</v>
      </c>
      <c r="E432" s="3" t="str">
        <f t="shared" si="39"/>
        <v>CGHU  MIL-001-1140</v>
      </c>
      <c r="F432" s="10" t="str">
        <f t="shared" si="40"/>
        <v>PCCN: CRGARM:-:PLISN: CGHU :-:PCC: TIT :-: CAGE: 0UJB5:-:PART NUMBER: MIL-001-1140:-:NOMENCLATURE: COVER,DISTRIBUTION :-:PRICE: $65.19:-:UNIQUE MODS: NO:-:PROPRIETARILY MFG FOR OEM: NO:-: :-: :-: :-:NSN: 6110016005374 :-: NHA: MIL-001-1543</v>
      </c>
      <c r="G432" s="8" t="str">
        <f>IF([1]All!$B433="","",[1]All!$B433)</f>
        <v xml:space="preserve">CGHU </v>
      </c>
      <c r="H432" s="8"/>
      <c r="I432" s="8" t="str">
        <f>IF([1]All!$D433=0,"",[1]All!$D433)</f>
        <v>D</v>
      </c>
      <c r="J432" s="8" t="str">
        <f>IF([1]All!$E433=0,"",[1]All!$E433)</f>
        <v>0UJB5</v>
      </c>
      <c r="K432" s="8" t="s">
        <v>325</v>
      </c>
      <c r="L432" s="11" t="str">
        <f>IF([1]All!$L433=0,"",[1]All!$L433)</f>
        <v xml:space="preserve">COVER,DISTRIBUTION </v>
      </c>
      <c r="M432" s="7" t="str">
        <f>IF([1]All!$AJ433=0,"",[1]All!$AJ433)</f>
        <v xml:space="preserve">CGBY </v>
      </c>
      <c r="N432" s="7" t="str">
        <f>IF([1]All!$R433=0,"",[1]All!$R433)</f>
        <v>6110</v>
      </c>
      <c r="O432" s="7" t="str">
        <f>IF([1]All!$S433=0,"",[1]All!$S433)</f>
        <v>016005374</v>
      </c>
      <c r="P432" s="7" t="str">
        <f>IF([1]All!$V433=0,"",[1]All!$V433)</f>
        <v>0000006519</v>
      </c>
      <c r="Q432" s="3" t="str">
        <f t="shared" si="41"/>
        <v>$65.19</v>
      </c>
      <c r="R432" s="8" t="str">
        <f>IF([1]All!$F433=0,"",[1]All!$F433)</f>
        <v>MIL-001-1140</v>
      </c>
    </row>
    <row r="433" spans="1:18">
      <c r="A433" s="7"/>
      <c r="B433" s="3">
        <f t="shared" si="36"/>
        <v>68</v>
      </c>
      <c r="C433" s="3" t="str">
        <f t="shared" si="37"/>
        <v>D</v>
      </c>
      <c r="D433" s="9" t="str">
        <f t="shared" si="38"/>
        <v>166.7000.4756</v>
      </c>
      <c r="E433" s="3" t="str">
        <f t="shared" si="39"/>
        <v>CGPQ  166.7000.4756</v>
      </c>
      <c r="F433" s="10" t="str">
        <f t="shared" si="40"/>
        <v>PCCN: CRGARM:-:PLISN: CGPQ :-:PCC: TIT :-: CAGE: 75915:-:PART NUMBER: 166.7000.4756:-:NOMENCLATURE: FUSE,INCLOSED LINK:-:PRICE: $3.74:-:UNIQUE MODS: NO:-:PROPRIETARILY MFG FOR OEM: NO:-: :-: :-: :-:NSN: 5920015695712 :-: NHA: MIL-001-1543</v>
      </c>
      <c r="G433" s="8" t="str">
        <f>IF([1]All!$B434="","",[1]All!$B434)</f>
        <v xml:space="preserve">CGPQ </v>
      </c>
      <c r="H433" s="8"/>
      <c r="I433" s="8" t="str">
        <f>IF([1]All!$D434=0,"",[1]All!$D434)</f>
        <v>D</v>
      </c>
      <c r="J433" s="8" t="str">
        <f>IF([1]All!$E434=0,"",[1]All!$E434)</f>
        <v>75915</v>
      </c>
      <c r="K433" s="8" t="s">
        <v>326</v>
      </c>
      <c r="L433" s="11" t="str">
        <f>IF([1]All!$L434=0,"",[1]All!$L434)</f>
        <v>FUSE,INCLOSED LINK</v>
      </c>
      <c r="M433" s="7" t="str">
        <f>IF([1]All!$AJ434=0,"",[1]All!$AJ434)</f>
        <v xml:space="preserve">CGBY </v>
      </c>
      <c r="N433" s="7" t="str">
        <f>IF([1]All!$R434=0,"",[1]All!$R434)</f>
        <v>5920</v>
      </c>
      <c r="O433" s="7" t="str">
        <f>IF([1]All!$S434=0,"",[1]All!$S434)</f>
        <v>015695712</v>
      </c>
      <c r="P433" s="7" t="str">
        <f>IF([1]All!$V434=0,"",[1]All!$V434)</f>
        <v>0000000374</v>
      </c>
      <c r="Q433" s="3" t="str">
        <f t="shared" si="41"/>
        <v>$3.74</v>
      </c>
      <c r="R433" s="8" t="str">
        <f>IF([1]All!$F434=0,"",[1]All!$F434)</f>
        <v>166.7000.4756</v>
      </c>
    </row>
    <row r="434" spans="1:18">
      <c r="A434" s="7"/>
      <c r="B434" s="3">
        <f t="shared" si="36"/>
        <v>68</v>
      </c>
      <c r="C434" s="3" t="str">
        <f t="shared" si="37"/>
        <v>D</v>
      </c>
      <c r="D434" s="9" t="str">
        <f t="shared" si="38"/>
        <v>MIL-001-694</v>
      </c>
      <c r="E434" s="3" t="str">
        <f t="shared" si="39"/>
        <v>CGVL  MIL-001-694</v>
      </c>
      <c r="F434" s="10" t="str">
        <f t="shared" si="40"/>
        <v>PCCN: CRGARM:-:PLISN: CGVL :-:PCC: TIT :-: CAGE: 0UJB5:-:PART NUMBER: MIL-001-694:-:NOMENCLATURE: CONTROL BOX:-:PRICE: $2000.00:-:UNIQUE MODS: NO:-:PROPRIETARILY MFG FOR OEM: NO:-: :-: :-: :-: :-: NHA: MIL-001-1543</v>
      </c>
      <c r="G434" s="8" t="str">
        <f>IF([1]All!$B435="","",[1]All!$B435)</f>
        <v xml:space="preserve">CGVL </v>
      </c>
      <c r="H434" s="8"/>
      <c r="I434" s="8" t="str">
        <f>IF([1]All!$D435=0,"",[1]All!$D435)</f>
        <v>D</v>
      </c>
      <c r="J434" s="8" t="str">
        <f>IF([1]All!$E435=0,"",[1]All!$E435)</f>
        <v>0UJB5</v>
      </c>
      <c r="K434" s="8" t="s">
        <v>327</v>
      </c>
      <c r="L434" s="11" t="str">
        <f>IF([1]All!$L435=0,"",[1]All!$L435)</f>
        <v>CONTROL BOX</v>
      </c>
      <c r="M434" s="7" t="str">
        <f>IF([1]All!$AJ435=0,"",[1]All!$AJ435)</f>
        <v xml:space="preserve">CGBY </v>
      </c>
      <c r="N434" s="7" t="str">
        <f>IF([1]All!$R435=0,"",[1]All!$R435)</f>
        <v/>
      </c>
      <c r="O434" s="7" t="str">
        <f>IF([1]All!$S435=0,"",[1]All!$S435)</f>
        <v/>
      </c>
      <c r="P434" s="7" t="str">
        <f>IF([1]All!$V435=0,"",[1]All!$V435)</f>
        <v>0000200000</v>
      </c>
      <c r="Q434" s="3" t="str">
        <f t="shared" si="41"/>
        <v>$2000.00</v>
      </c>
      <c r="R434" s="8" t="str">
        <f>IF([1]All!$F435=0,"",[1]All!$F435)</f>
        <v>MIL-001-694</v>
      </c>
    </row>
    <row r="435" spans="1:18">
      <c r="A435" s="7"/>
      <c r="B435" s="3">
        <f t="shared" si="36"/>
        <v>67</v>
      </c>
      <c r="C435" s="3" t="str">
        <f t="shared" si="37"/>
        <v>C</v>
      </c>
      <c r="D435" s="9" t="str">
        <f t="shared" si="38"/>
        <v>MIL-001-075</v>
      </c>
      <c r="E435" s="3" t="str">
        <f t="shared" si="39"/>
        <v>CG1G  MIL-001-075</v>
      </c>
      <c r="F435" s="10" t="str">
        <f t="shared" si="40"/>
        <v>PCCN: CRGARM:-:PLISN: CG1G :-:PCC: TIT :-: CAGE: 0UJB5:-:PART NUMBER: MIL-001-075:-:NOMENCLATURE: CABLE ASSEMBLY,SPEC:-:PRICE: $461.02:-:UNIQUE MODS: NO:-:PROPRIETARILY MFG FOR OEM: NO:-: :-: :-: :-:NSN: 6150015668399 :-: NHA: 12574288</v>
      </c>
      <c r="G435" s="8" t="str">
        <f>IF([1]All!$B436="","",[1]All!$B436)</f>
        <v xml:space="preserve">CG1G </v>
      </c>
      <c r="H435" s="8"/>
      <c r="I435" s="8" t="str">
        <f>IF([1]All!$D436=0,"",[1]All!$D436)</f>
        <v>C</v>
      </c>
      <c r="J435" s="8" t="str">
        <f>IF([1]All!$E436=0,"",[1]All!$E436)</f>
        <v>0UJB5</v>
      </c>
      <c r="K435" s="8" t="s">
        <v>328</v>
      </c>
      <c r="L435" s="11" t="str">
        <f>IF([1]All!$L436=0,"",[1]All!$L436)</f>
        <v>CABLE ASSEMBLY,SPEC</v>
      </c>
      <c r="M435" s="7" t="str">
        <f>IF([1]All!$AJ436=0,"",[1]All!$AJ436)</f>
        <v xml:space="preserve">AAF6 </v>
      </c>
      <c r="N435" s="7" t="str">
        <f>IF([1]All!$R436=0,"",[1]All!$R436)</f>
        <v>6150</v>
      </c>
      <c r="O435" s="7" t="str">
        <f>IF([1]All!$S436=0,"",[1]All!$S436)</f>
        <v>015668399</v>
      </c>
      <c r="P435" s="7" t="str">
        <f>IF([1]All!$V436=0,"",[1]All!$V436)</f>
        <v>0000046102</v>
      </c>
      <c r="Q435" s="3" t="str">
        <f t="shared" si="41"/>
        <v>$461.02</v>
      </c>
      <c r="R435" s="8" t="str">
        <f>IF([1]All!$F436=0,"",[1]All!$F436)</f>
        <v>MIL-001-075</v>
      </c>
    </row>
    <row r="436" spans="1:18">
      <c r="A436" s="7"/>
      <c r="B436" s="3">
        <f t="shared" si="36"/>
        <v>67</v>
      </c>
      <c r="C436" s="3" t="str">
        <f t="shared" si="37"/>
        <v>C</v>
      </c>
      <c r="D436" s="9" t="str">
        <f t="shared" si="38"/>
        <v>MIL-001-649</v>
      </c>
      <c r="E436" s="3" t="str">
        <f t="shared" si="39"/>
        <v>CG7C  MIL-001-649</v>
      </c>
      <c r="F436" s="10" t="str">
        <f t="shared" si="40"/>
        <v>PCCN: CRGARM:-:PLISN: CG7C :-:PCC: TIT :-: CAGE: 0UJB5:-:PART NUMBER: MIL-001-649:-:NOMENCLATURE: WIRING HARNESS:-:PRICE: $15.00:-:UNIQUE MODS: NO:-:PROPRIETARILY MFG FOR OEM: NO:-: :-: :-: :-:NSN: 6150016180259 :-: NHA: 12574288</v>
      </c>
      <c r="G436" s="8" t="str">
        <f>IF([1]All!$B437="","",[1]All!$B437)</f>
        <v xml:space="preserve">CG7C </v>
      </c>
      <c r="H436" s="8"/>
      <c r="I436" s="8" t="str">
        <f>IF([1]All!$D437=0,"",[1]All!$D437)</f>
        <v>C</v>
      </c>
      <c r="J436" s="8" t="str">
        <f>IF([1]All!$E437=0,"",[1]All!$E437)</f>
        <v>0UJB5</v>
      </c>
      <c r="K436" s="8" t="s">
        <v>329</v>
      </c>
      <c r="L436" s="11" t="str">
        <f>IF([1]All!$L437=0,"",[1]All!$L437)</f>
        <v>WIRING HARNESS</v>
      </c>
      <c r="M436" s="7" t="str">
        <f>IF([1]All!$AJ437=0,"",[1]All!$AJ437)</f>
        <v xml:space="preserve">AAF6 </v>
      </c>
      <c r="N436" s="7" t="str">
        <f>IF([1]All!$R437=0,"",[1]All!$R437)</f>
        <v>6150</v>
      </c>
      <c r="O436" s="7" t="str">
        <f>IF([1]All!$S437=0,"",[1]All!$S437)</f>
        <v>016180259</v>
      </c>
      <c r="P436" s="7" t="str">
        <f>IF([1]All!$V437=0,"",[1]All!$V437)</f>
        <v>0000001500</v>
      </c>
      <c r="Q436" s="3" t="str">
        <f t="shared" si="41"/>
        <v>$15.00</v>
      </c>
      <c r="R436" s="8" t="str">
        <f>IF([1]All!$F437=0,"",[1]All!$F437)</f>
        <v>MIL-001-649</v>
      </c>
    </row>
    <row r="437" spans="1:18">
      <c r="A437" s="7"/>
      <c r="B437" s="3">
        <f t="shared" si="36"/>
        <v>67</v>
      </c>
      <c r="C437" s="3" t="str">
        <f t="shared" si="37"/>
        <v>C</v>
      </c>
      <c r="D437" s="9" t="str">
        <f t="shared" si="38"/>
        <v>MIL-001-073</v>
      </c>
      <c r="E437" s="3" t="str">
        <f t="shared" si="39"/>
        <v>CHC8  MIL-001-073</v>
      </c>
      <c r="F437" s="10" t="str">
        <f t="shared" si="40"/>
        <v>PCCN: CRGARM:-:PLISN: CHC8 :-:PCC: TIT :-: CAGE: 0UJB5:-:PART NUMBER: MIL-001-073:-:NOMENCLATURE: CONSOLE,UNIT,REMOTE:-:PRICE: $2523.00:-:UNIQUE MODS: NO:-:PROPRIETARILY MFG FOR OEM: NO:-: :-: :-: :-:NSN: 2030015689343 :-: NHA: 12574288</v>
      </c>
      <c r="G437" s="8" t="str">
        <f>IF([1]All!$B438="","",[1]All!$B438)</f>
        <v xml:space="preserve">CHC8 </v>
      </c>
      <c r="H437" s="8"/>
      <c r="I437" s="8" t="str">
        <f>IF([1]All!$D438=0,"",[1]All!$D438)</f>
        <v>C</v>
      </c>
      <c r="J437" s="8" t="str">
        <f>IF([1]All!$E438=0,"",[1]All!$E438)</f>
        <v>0UJB5</v>
      </c>
      <c r="K437" s="8" t="s">
        <v>330</v>
      </c>
      <c r="L437" s="11" t="str">
        <f>IF([1]All!$L438=0,"",[1]All!$L438)</f>
        <v>CONSOLE,UNIT,REMOTE</v>
      </c>
      <c r="M437" s="7" t="str">
        <f>IF([1]All!$AJ438=0,"",[1]All!$AJ438)</f>
        <v xml:space="preserve">AAF6 </v>
      </c>
      <c r="N437" s="7" t="str">
        <f>IF([1]All!$R438=0,"",[1]All!$R438)</f>
        <v>2030</v>
      </c>
      <c r="O437" s="7" t="str">
        <f>IF([1]All!$S438=0,"",[1]All!$S438)</f>
        <v>015689343</v>
      </c>
      <c r="P437" s="7" t="str">
        <f>IF([1]All!$V438=0,"",[1]All!$V438)</f>
        <v>0000252300</v>
      </c>
      <c r="Q437" s="3" t="str">
        <f t="shared" si="41"/>
        <v>$2523.00</v>
      </c>
      <c r="R437" s="8" t="str">
        <f>IF([1]All!$F438=0,"",[1]All!$F438)</f>
        <v>MIL-001-073</v>
      </c>
    </row>
    <row r="438" spans="1:18">
      <c r="A438" s="7"/>
      <c r="B438" s="3">
        <f t="shared" si="36"/>
        <v>68</v>
      </c>
      <c r="C438" s="3" t="str">
        <f t="shared" si="37"/>
        <v>D</v>
      </c>
      <c r="D438" s="9" t="str">
        <f t="shared" si="38"/>
        <v>MIL-001-238</v>
      </c>
      <c r="E438" s="3" t="str">
        <f t="shared" si="39"/>
        <v>CHJ4  MIL-001-238</v>
      </c>
      <c r="F438" s="10" t="str">
        <f t="shared" si="40"/>
        <v>PCCN: CRGARM:-:PLISN: CHJ4 :-:PCC: TIT :-: CAGE: 0UJB5:-:PART NUMBER: MIL-001-238:-:NOMENCLATURE: STRAP,WEBBING:-:PRICE: $86.86:-:UNIQUE MODS: NO:-:PROPRIETARILY MFG FOR OEM: NO:-: :-: :-: :-:NSN: 5340015659295 :-: NHA: MIL-001-073 :-: NHA NSN: 2030015689343</v>
      </c>
      <c r="G438" s="8" t="str">
        <f>IF([1]All!$B439="","",[1]All!$B439)</f>
        <v xml:space="preserve">CHJ4 </v>
      </c>
      <c r="H438" s="8"/>
      <c r="I438" s="8" t="str">
        <f>IF([1]All!$D439=0,"",[1]All!$D439)</f>
        <v>D</v>
      </c>
      <c r="J438" s="8" t="str">
        <f>IF([1]All!$E439=0,"",[1]All!$E439)</f>
        <v>0UJB5</v>
      </c>
      <c r="K438" s="8" t="s">
        <v>331</v>
      </c>
      <c r="L438" s="11" t="str">
        <f>IF([1]All!$L439=0,"",[1]All!$L439)</f>
        <v>STRAP,WEBBING</v>
      </c>
      <c r="M438" s="7" t="str">
        <f>IF([1]All!$AJ439=0,"",[1]All!$AJ439)</f>
        <v xml:space="preserve">CHC8 </v>
      </c>
      <c r="N438" s="7" t="str">
        <f>IF([1]All!$R439=0,"",[1]All!$R439)</f>
        <v>5340</v>
      </c>
      <c r="O438" s="7" t="str">
        <f>IF([1]All!$S439=0,"",[1]All!$S439)</f>
        <v>015659295</v>
      </c>
      <c r="P438" s="7" t="str">
        <f>IF([1]All!$V439=0,"",[1]All!$V439)</f>
        <v>0000008686</v>
      </c>
      <c r="Q438" s="3" t="str">
        <f t="shared" si="41"/>
        <v>$86.86</v>
      </c>
      <c r="R438" s="8" t="str">
        <f>IF([1]All!$F439=0,"",[1]All!$F439)</f>
        <v>MIL-001-238</v>
      </c>
    </row>
    <row r="439" spans="1:18">
      <c r="A439" s="7"/>
      <c r="B439" s="3">
        <f t="shared" si="36"/>
        <v>68</v>
      </c>
      <c r="C439" s="3" t="str">
        <f t="shared" si="37"/>
        <v>D</v>
      </c>
      <c r="D439" s="9" t="str">
        <f t="shared" si="38"/>
        <v>MIL-001-174</v>
      </c>
      <c r="E439" s="3" t="str">
        <f t="shared" si="39"/>
        <v>CHQ0  MIL-001-174</v>
      </c>
      <c r="F439" s="10" t="str">
        <f t="shared" si="40"/>
        <v>PCCN: CRGARM:-:PLISN: CHQ0 :-:PCC: TIT :-: CAGE: 0UJB5:-:PART NUMBER: MIL-001-174:-:NOMENCLATURE: KEY,SWITCH:-:PRICE: $68.62:-:UNIQUE MODS: NO:-:PROPRIETARILY MFG FOR OEM: NO:-: :-: :-: :-:NSN: 5930015662653 :-: NHA: MIL-001-073 :-: NHA NSN: 2030015689343</v>
      </c>
      <c r="G439" s="8" t="str">
        <f>IF([1]All!$B440="","",[1]All!$B440)</f>
        <v xml:space="preserve">CHQ0 </v>
      </c>
      <c r="H439" s="8"/>
      <c r="I439" s="8" t="str">
        <f>IF([1]All!$D440=0,"",[1]All!$D440)</f>
        <v>D</v>
      </c>
      <c r="J439" s="8" t="str">
        <f>IF([1]All!$E440=0,"",[1]All!$E440)</f>
        <v>0UJB5</v>
      </c>
      <c r="K439" s="8" t="s">
        <v>332</v>
      </c>
      <c r="L439" s="11" t="str">
        <f>IF([1]All!$L440=0,"",[1]All!$L440)</f>
        <v>KEY,SWITCH</v>
      </c>
      <c r="M439" s="7" t="str">
        <f>IF([1]All!$AJ440=0,"",[1]All!$AJ440)</f>
        <v xml:space="preserve">CHC8 </v>
      </c>
      <c r="N439" s="7" t="str">
        <f>IF([1]All!$R440=0,"",[1]All!$R440)</f>
        <v>5930</v>
      </c>
      <c r="O439" s="7" t="str">
        <f>IF([1]All!$S440=0,"",[1]All!$S440)</f>
        <v>015662653</v>
      </c>
      <c r="P439" s="7" t="str">
        <f>IF([1]All!$V440=0,"",[1]All!$V440)</f>
        <v>0000006862</v>
      </c>
      <c r="Q439" s="3" t="str">
        <f t="shared" si="41"/>
        <v>$68.62</v>
      </c>
      <c r="R439" s="8" t="str">
        <f>IF([1]All!$F440=0,"",[1]All!$F440)</f>
        <v>MIL-001-174</v>
      </c>
    </row>
    <row r="440" spans="1:18">
      <c r="A440" s="7"/>
      <c r="B440" s="3">
        <f t="shared" si="36"/>
        <v>68</v>
      </c>
      <c r="C440" s="3" t="str">
        <f t="shared" si="37"/>
        <v>D</v>
      </c>
      <c r="D440" s="9" t="str">
        <f t="shared" si="38"/>
        <v>MIL-001-532</v>
      </c>
      <c r="E440" s="3" t="str">
        <f t="shared" si="39"/>
        <v>CHWW  MIL-001-532</v>
      </c>
      <c r="F440" s="10" t="str">
        <f t="shared" si="40"/>
        <v>PCCN: CRGARM:-:PLISN: CHWW :-:PCC: TIT :-: CAGE: 0UJB5:-:PART NUMBER: MIL-001-532:-:NOMENCLATURE: SWITCH,TOGGLE:-:PRICE: $249.74:-:UNIQUE MODS: NO:-:PROPRIETARILY MFG FOR OEM: NO:-: :-: :-: :-:NSN: 5930015660077 :-: NHA: MIL-001-073 :-: NHA NSN: 2030015689343</v>
      </c>
      <c r="G440" s="8" t="str">
        <f>IF([1]All!$B441="","",[1]All!$B441)</f>
        <v xml:space="preserve">CHWW </v>
      </c>
      <c r="H440" s="8"/>
      <c r="I440" s="8" t="str">
        <f>IF([1]All!$D441=0,"",[1]All!$D441)</f>
        <v>D</v>
      </c>
      <c r="J440" s="8" t="str">
        <f>IF([1]All!$E441=0,"",[1]All!$E441)</f>
        <v>0UJB5</v>
      </c>
      <c r="K440" s="8" t="s">
        <v>333</v>
      </c>
      <c r="L440" s="11" t="str">
        <f>IF([1]All!$L441=0,"",[1]All!$L441)</f>
        <v>SWITCH,TOGGLE</v>
      </c>
      <c r="M440" s="7" t="str">
        <f>IF([1]All!$AJ441=0,"",[1]All!$AJ441)</f>
        <v xml:space="preserve">CHC8 </v>
      </c>
      <c r="N440" s="7" t="str">
        <f>IF([1]All!$R441=0,"",[1]All!$R441)</f>
        <v>5930</v>
      </c>
      <c r="O440" s="7" t="str">
        <f>IF([1]All!$S441=0,"",[1]All!$S441)</f>
        <v>015660077</v>
      </c>
      <c r="P440" s="7" t="str">
        <f>IF([1]All!$V441=0,"",[1]All!$V441)</f>
        <v>0000024974</v>
      </c>
      <c r="Q440" s="3" t="str">
        <f t="shared" si="41"/>
        <v>$249.74</v>
      </c>
      <c r="R440" s="8" t="str">
        <f>IF([1]All!$F441=0,"",[1]All!$F441)</f>
        <v>MIL-001-532</v>
      </c>
    </row>
    <row r="441" spans="1:18">
      <c r="A441" s="7"/>
      <c r="B441" s="3">
        <f t="shared" si="36"/>
        <v>68</v>
      </c>
      <c r="C441" s="3" t="str">
        <f t="shared" si="37"/>
        <v>D</v>
      </c>
      <c r="D441" s="9" t="str">
        <f t="shared" si="38"/>
        <v>MIL-001-721</v>
      </c>
      <c r="E441" s="3" t="str">
        <f t="shared" si="39"/>
        <v>CH2S  MIL-001-721</v>
      </c>
      <c r="F441" s="10" t="str">
        <f t="shared" si="40"/>
        <v>PCCN: CRGARM:-:PLISN: CH2S :-:PCC: TIT :-: CAGE: 0UJB5:-:PART NUMBER: MIL-001-721:-:NOMENCLATURE: SEAL:-:PRICE: $3.99:-:UNIQUE MODS: NO:-:PROPRIETARILY MFG FOR OEM: NO:-: :-: :-: :-: :-: NHA: MIL-001-073 :-: NHA NSN: 2030015689343</v>
      </c>
      <c r="G441" s="8" t="str">
        <f>IF([1]All!$B442="","",[1]All!$B442)</f>
        <v xml:space="preserve">CH2S </v>
      </c>
      <c r="H441" s="8"/>
      <c r="I441" s="8" t="str">
        <f>IF([1]All!$D442=0,"",[1]All!$D442)</f>
        <v>D</v>
      </c>
      <c r="J441" s="8" t="str">
        <f>IF([1]All!$E442=0,"",[1]All!$E442)</f>
        <v>0UJB5</v>
      </c>
      <c r="K441" s="8" t="s">
        <v>334</v>
      </c>
      <c r="L441" s="11" t="str">
        <f>IF([1]All!$L442=0,"",[1]All!$L442)</f>
        <v>SEAL</v>
      </c>
      <c r="M441" s="7" t="str">
        <f>IF([1]All!$AJ442=0,"",[1]All!$AJ442)</f>
        <v xml:space="preserve">CHC8 </v>
      </c>
      <c r="N441" s="7" t="str">
        <f>IF([1]All!$R442=0,"",[1]All!$R442)</f>
        <v/>
      </c>
      <c r="O441" s="7" t="str">
        <f>IF([1]All!$S442=0,"",[1]All!$S442)</f>
        <v/>
      </c>
      <c r="P441" s="7" t="str">
        <f>IF([1]All!$V442=0,"",[1]All!$V442)</f>
        <v>0000000399</v>
      </c>
      <c r="Q441" s="3" t="str">
        <f t="shared" si="41"/>
        <v>$3.99</v>
      </c>
      <c r="R441" s="8" t="str">
        <f>IF([1]All!$F442=0,"",[1]All!$F442)</f>
        <v>MIL-001-721</v>
      </c>
    </row>
    <row r="442" spans="1:18">
      <c r="A442" s="7"/>
      <c r="B442" s="3">
        <f t="shared" si="36"/>
        <v>68</v>
      </c>
      <c r="C442" s="3" t="str">
        <f t="shared" si="37"/>
        <v>D</v>
      </c>
      <c r="D442" s="9" t="str">
        <f t="shared" si="38"/>
        <v>MIL-001-597</v>
      </c>
      <c r="E442" s="3" t="str">
        <f t="shared" si="39"/>
        <v>CH8N  MIL-001-597</v>
      </c>
      <c r="F442" s="10" t="str">
        <f t="shared" si="40"/>
        <v>PCCN: CRGARM:-:PLISN: CH8N :-:PCC: TIT :-: CAGE: 0UJB5:-:PART NUMBER: MIL-001-597:-:NOMENCLATURE: SCREW,MACHINE:-:PRICE: $1.80:-:UNIQUE MODS: NO:-:PROPRIETARILY MFG FOR OEM: NO:-: :-: :-: :-:NSN: 5305015707543 :-: NHA: MIL-001-073 :-: NHA NSN: 2030015689343</v>
      </c>
      <c r="G442" s="8" t="str">
        <f>IF([1]All!$B443="","",[1]All!$B443)</f>
        <v xml:space="preserve">CH8N </v>
      </c>
      <c r="H442" s="8"/>
      <c r="I442" s="8" t="str">
        <f>IF([1]All!$D443=0,"",[1]All!$D443)</f>
        <v>D</v>
      </c>
      <c r="J442" s="8" t="str">
        <f>IF([1]All!$E443=0,"",[1]All!$E443)</f>
        <v>0UJB5</v>
      </c>
      <c r="K442" s="8" t="s">
        <v>335</v>
      </c>
      <c r="L442" s="11" t="str">
        <f>IF([1]All!$L443=0,"",[1]All!$L443)</f>
        <v>SCREW,MACHINE</v>
      </c>
      <c r="M442" s="7" t="str">
        <f>IF([1]All!$AJ443=0,"",[1]All!$AJ443)</f>
        <v xml:space="preserve">CHC8 </v>
      </c>
      <c r="N442" s="7" t="str">
        <f>IF([1]All!$R443=0,"",[1]All!$R443)</f>
        <v>5305</v>
      </c>
      <c r="O442" s="7" t="str">
        <f>IF([1]All!$S443=0,"",[1]All!$S443)</f>
        <v>015707543</v>
      </c>
      <c r="P442" s="7" t="str">
        <f>IF([1]All!$V443=0,"",[1]All!$V443)</f>
        <v>0000000180</v>
      </c>
      <c r="Q442" s="3" t="str">
        <f t="shared" si="41"/>
        <v>$1.80</v>
      </c>
      <c r="R442" s="8" t="str">
        <f>IF([1]All!$F443=0,"",[1]All!$F443)</f>
        <v>MIL-001-597</v>
      </c>
    </row>
    <row r="443" spans="1:18">
      <c r="A443" s="7"/>
      <c r="B443" s="3">
        <f t="shared" si="36"/>
        <v>68</v>
      </c>
      <c r="C443" s="3" t="str">
        <f t="shared" si="37"/>
        <v>D</v>
      </c>
      <c r="D443" s="9" t="str">
        <f t="shared" si="38"/>
        <v>MIL-001-598</v>
      </c>
      <c r="E443" s="3" t="str">
        <f t="shared" si="39"/>
        <v>CJEJ  MIL-001-598</v>
      </c>
      <c r="F443" s="10" t="str">
        <f t="shared" si="40"/>
        <v>PCCN: CRGARM:-:PLISN: CJEJ :-:PCC: TIT :-: CAGE: 0UJB5:-:PART NUMBER: MIL-001-598:-:NOMENCLATURE: O-RING:-:PRICE: $0.92:-:UNIQUE MODS: NO:-:PROPRIETARILY MFG FOR OEM: NO:-: :-: :-: :-:NSN: 5331015702389 :-: NHA: MIL-001-073 :-: NHA NSN: 2030015689343</v>
      </c>
      <c r="G443" s="8" t="str">
        <f>IF([1]All!$B444="","",[1]All!$B444)</f>
        <v xml:space="preserve">CJEJ </v>
      </c>
      <c r="H443" s="8"/>
      <c r="I443" s="8" t="str">
        <f>IF([1]All!$D444=0,"",[1]All!$D444)</f>
        <v>D</v>
      </c>
      <c r="J443" s="8" t="str">
        <f>IF([1]All!$E444=0,"",[1]All!$E444)</f>
        <v>0UJB5</v>
      </c>
      <c r="K443" s="8" t="s">
        <v>309</v>
      </c>
      <c r="L443" s="11" t="str">
        <f>IF([1]All!$L444=0,"",[1]All!$L444)</f>
        <v>O-RING</v>
      </c>
      <c r="M443" s="7" t="str">
        <f>IF([1]All!$AJ444=0,"",[1]All!$AJ444)</f>
        <v xml:space="preserve">CHC8 </v>
      </c>
      <c r="N443" s="7" t="str">
        <f>IF([1]All!$R444=0,"",[1]All!$R444)</f>
        <v>5331</v>
      </c>
      <c r="O443" s="7" t="str">
        <f>IF([1]All!$S444=0,"",[1]All!$S444)</f>
        <v>015702389</v>
      </c>
      <c r="P443" s="7" t="str">
        <f>IF([1]All!$V444=0,"",[1]All!$V444)</f>
        <v>0000000092</v>
      </c>
      <c r="Q443" s="3" t="str">
        <f t="shared" si="41"/>
        <v>$0.92</v>
      </c>
      <c r="R443" s="8" t="str">
        <f>IF([1]All!$F444=0,"",[1]All!$F444)</f>
        <v>MIL-001-598</v>
      </c>
    </row>
    <row r="444" spans="1:18">
      <c r="A444" s="7"/>
      <c r="B444" s="3">
        <f t="shared" si="36"/>
        <v>68</v>
      </c>
      <c r="C444" s="3" t="str">
        <f t="shared" si="37"/>
        <v>D</v>
      </c>
      <c r="D444" s="9" t="str">
        <f t="shared" si="38"/>
        <v>MIL-001-599</v>
      </c>
      <c r="E444" s="3" t="str">
        <f t="shared" si="39"/>
        <v>CJLE  MIL-001-599</v>
      </c>
      <c r="F444" s="10" t="str">
        <f t="shared" si="40"/>
        <v>PCCN: CRGARM:-:PLISN: CJLE :-:PCC: TIT :-: CAGE: 0UJB5:-:PART NUMBER: MIL-001-599:-:NOMENCLATURE: GASKET:-:PRICE: $18.03:-:UNIQUE MODS: NO:-:PROPRIETARILY MFG FOR OEM: NO:-: :-: :-: :-:NSN: 5330015659267 :-: NHA: MIL-001-073 :-: NHA NSN: 2030015689343</v>
      </c>
      <c r="G444" s="8" t="str">
        <f>IF([1]All!$B445="","",[1]All!$B445)</f>
        <v xml:space="preserve">CJLE </v>
      </c>
      <c r="H444" s="8"/>
      <c r="I444" s="8" t="str">
        <f>IF([1]All!$D445=0,"",[1]All!$D445)</f>
        <v>D</v>
      </c>
      <c r="J444" s="8" t="str">
        <f>IF([1]All!$E445=0,"",[1]All!$E445)</f>
        <v>0UJB5</v>
      </c>
      <c r="K444" s="8" t="s">
        <v>336</v>
      </c>
      <c r="L444" s="11" t="str">
        <f>IF([1]All!$L445=0,"",[1]All!$L445)</f>
        <v>GASKET</v>
      </c>
      <c r="M444" s="7" t="str">
        <f>IF([1]All!$AJ445=0,"",[1]All!$AJ445)</f>
        <v xml:space="preserve">CHC8 </v>
      </c>
      <c r="N444" s="7" t="str">
        <f>IF([1]All!$R445=0,"",[1]All!$R445)</f>
        <v>5330</v>
      </c>
      <c r="O444" s="7" t="str">
        <f>IF([1]All!$S445=0,"",[1]All!$S445)</f>
        <v>015659267</v>
      </c>
      <c r="P444" s="7" t="str">
        <f>IF([1]All!$V445=0,"",[1]All!$V445)</f>
        <v>0000001803</v>
      </c>
      <c r="Q444" s="3" t="str">
        <f t="shared" si="41"/>
        <v>$18.03</v>
      </c>
      <c r="R444" s="8" t="str">
        <f>IF([1]All!$F445=0,"",[1]All!$F445)</f>
        <v>MIL-001-599</v>
      </c>
    </row>
    <row r="445" spans="1:18">
      <c r="A445" s="7"/>
      <c r="B445" s="3">
        <f t="shared" si="36"/>
        <v>68</v>
      </c>
      <c r="C445" s="3" t="str">
        <f t="shared" si="37"/>
        <v>D</v>
      </c>
      <c r="D445" s="9" t="str">
        <f t="shared" si="38"/>
        <v>MIL-001-600</v>
      </c>
      <c r="E445" s="3" t="str">
        <f t="shared" si="39"/>
        <v>CJSA  MIL-001-600</v>
      </c>
      <c r="F445" s="10" t="str">
        <f t="shared" si="40"/>
        <v>PCCN: CRGARM:-:PLISN: CJSA :-:PCC: TIT :-: CAGE: 0UJB5:-:PART NUMBER: MIL-001-600:-:NOMENCLATURE: SCREW,MACHINE:-:PRICE: $1.80:-:UNIQUE MODS: NO:-:PROPRIETARILY MFG FOR OEM: NO:-: :-: :-: :-:NSN: 5305015702451 :-: NHA: MIL-001-073 :-: NHA NSN: 2030015689343</v>
      </c>
      <c r="G445" s="8" t="str">
        <f>IF([1]All!$B446="","",[1]All!$B446)</f>
        <v xml:space="preserve">CJSA </v>
      </c>
      <c r="H445" s="8"/>
      <c r="I445" s="8" t="str">
        <f>IF([1]All!$D446=0,"",[1]All!$D446)</f>
        <v>D</v>
      </c>
      <c r="J445" s="8" t="str">
        <f>IF([1]All!$E446=0,"",[1]All!$E446)</f>
        <v>0UJB5</v>
      </c>
      <c r="K445" s="8" t="s">
        <v>337</v>
      </c>
      <c r="L445" s="11" t="str">
        <f>IF([1]All!$L446=0,"",[1]All!$L446)</f>
        <v>SCREW,MACHINE</v>
      </c>
      <c r="M445" s="7" t="str">
        <f>IF([1]All!$AJ446=0,"",[1]All!$AJ446)</f>
        <v xml:space="preserve">CHC8 </v>
      </c>
      <c r="N445" s="7" t="str">
        <f>IF([1]All!$R446=0,"",[1]All!$R446)</f>
        <v>5305</v>
      </c>
      <c r="O445" s="7" t="str">
        <f>IF([1]All!$S446=0,"",[1]All!$S446)</f>
        <v>015702451</v>
      </c>
      <c r="P445" s="7" t="str">
        <f>IF([1]All!$V446=0,"",[1]All!$V446)</f>
        <v>0000000180</v>
      </c>
      <c r="Q445" s="3" t="str">
        <f t="shared" si="41"/>
        <v>$1.80</v>
      </c>
      <c r="R445" s="8" t="str">
        <f>IF([1]All!$F446=0,"",[1]All!$F446)</f>
        <v>MIL-001-600</v>
      </c>
    </row>
    <row r="446" spans="1:18">
      <c r="A446" s="7"/>
      <c r="B446" s="3">
        <f t="shared" si="36"/>
        <v>68</v>
      </c>
      <c r="C446" s="3" t="str">
        <f t="shared" si="37"/>
        <v>D</v>
      </c>
      <c r="D446" s="9" t="str">
        <f t="shared" si="38"/>
        <v>MIL-001-601</v>
      </c>
      <c r="E446" s="3" t="str">
        <f t="shared" si="39"/>
        <v>CJX6  MIL-001-601</v>
      </c>
      <c r="F446" s="10" t="str">
        <f t="shared" si="40"/>
        <v>PCCN: CRGARM:-:PLISN: CJX6 :-:PCC: TIT :-: CAGE: 0UJB5:-:PART NUMBER: MIL-001-601:-:NOMENCLATURE: WASHER,LOCK:-:PRICE: $2.91:-:UNIQUE MODS: NO:-:PROPRIETARILY MFG FOR OEM: NO:-: :-: :-: :-:NSN: 5310015643379 :-: NHA: MIL-001-073 :-: NHA NSN: 2030015689343</v>
      </c>
      <c r="G446" s="8" t="str">
        <f>IF([1]All!$B447="","",[1]All!$B447)</f>
        <v xml:space="preserve">CJX6 </v>
      </c>
      <c r="H446" s="8"/>
      <c r="I446" s="8" t="str">
        <f>IF([1]All!$D447=0,"",[1]All!$D447)</f>
        <v>D</v>
      </c>
      <c r="J446" s="8" t="str">
        <f>IF([1]All!$E447=0,"",[1]All!$E447)</f>
        <v>0UJB5</v>
      </c>
      <c r="K446" s="8" t="s">
        <v>338</v>
      </c>
      <c r="L446" s="11" t="str">
        <f>IF([1]All!$L447=0,"",[1]All!$L447)</f>
        <v>WASHER,LOCK</v>
      </c>
      <c r="M446" s="7" t="str">
        <f>IF([1]All!$AJ447=0,"",[1]All!$AJ447)</f>
        <v xml:space="preserve">CHC8 </v>
      </c>
      <c r="N446" s="7" t="str">
        <f>IF([1]All!$R447=0,"",[1]All!$R447)</f>
        <v>5310</v>
      </c>
      <c r="O446" s="7" t="str">
        <f>IF([1]All!$S447=0,"",[1]All!$S447)</f>
        <v>015643379</v>
      </c>
      <c r="P446" s="7" t="str">
        <f>IF([1]All!$V447=0,"",[1]All!$V447)</f>
        <v>0000000291</v>
      </c>
      <c r="Q446" s="3" t="str">
        <f t="shared" si="41"/>
        <v>$2.91</v>
      </c>
      <c r="R446" s="8" t="str">
        <f>IF([1]All!$F447=0,"",[1]All!$F447)</f>
        <v>MIL-001-601</v>
      </c>
    </row>
    <row r="447" spans="1:18">
      <c r="A447" s="7"/>
      <c r="B447" s="3">
        <f t="shared" si="36"/>
        <v>67</v>
      </c>
      <c r="C447" s="3" t="str">
        <f t="shared" si="37"/>
        <v>C</v>
      </c>
      <c r="D447" s="9" t="str">
        <f t="shared" si="38"/>
        <v>MIL-001-861</v>
      </c>
      <c r="E447" s="3" t="str">
        <f t="shared" si="39"/>
        <v>CJ32  MIL-001-861</v>
      </c>
      <c r="F447" s="10" t="str">
        <f t="shared" si="40"/>
        <v>PCCN: CRGARM:-:PLISN: CJ32 :-:PCC: TIT :-: CAGE: 0UJB5:-:PART NUMBER: MIL-001-861:-:NOMENCLATURE: BRACKET SET,ANGLE:-:PRICE: $563.18:-:UNIQUE MODS: NO:-:PROPRIETARILY MFG FOR OEM: NO:-: :-: :-: :-:NSN: 5340016180169 :-: NHA: 12574288</v>
      </c>
      <c r="G447" s="8" t="str">
        <f>IF([1]All!$B448="","",[1]All!$B448)</f>
        <v xml:space="preserve">CJ32 </v>
      </c>
      <c r="H447" s="8"/>
      <c r="I447" s="8" t="str">
        <f>IF([1]All!$D448=0,"",[1]All!$D448)</f>
        <v>C</v>
      </c>
      <c r="J447" s="8" t="str">
        <f>IF([1]All!$E448=0,"",[1]All!$E448)</f>
        <v>0UJB5</v>
      </c>
      <c r="K447" s="8" t="s">
        <v>339</v>
      </c>
      <c r="L447" s="11" t="str">
        <f>IF([1]All!$L448=0,"",[1]All!$L448)</f>
        <v>BRACKET SET,ANGLE</v>
      </c>
      <c r="M447" s="7" t="str">
        <f>IF([1]All!$AJ448=0,"",[1]All!$AJ448)</f>
        <v xml:space="preserve">AAF6 </v>
      </c>
      <c r="N447" s="7" t="str">
        <f>IF([1]All!$R448=0,"",[1]All!$R448)</f>
        <v>5340</v>
      </c>
      <c r="O447" s="7" t="str">
        <f>IF([1]All!$S448=0,"",[1]All!$S448)</f>
        <v>016180169</v>
      </c>
      <c r="P447" s="7" t="str">
        <f>IF([1]All!$V448=0,"",[1]All!$V448)</f>
        <v>0000056318</v>
      </c>
      <c r="Q447" s="3" t="str">
        <f t="shared" si="41"/>
        <v>$563.18</v>
      </c>
      <c r="R447" s="8" t="str">
        <f>IF([1]All!$F448=0,"",[1]All!$F448)</f>
        <v>MIL-001-861</v>
      </c>
    </row>
    <row r="448" spans="1:18">
      <c r="A448" s="7"/>
      <c r="B448" s="3">
        <f t="shared" si="36"/>
        <v>67</v>
      </c>
      <c r="C448" s="3" t="str">
        <f t="shared" si="37"/>
        <v>C</v>
      </c>
      <c r="D448" s="9" t="str">
        <f t="shared" si="38"/>
        <v>870040</v>
      </c>
      <c r="E448" s="3" t="str">
        <f t="shared" si="39"/>
        <v>CJ9Y  870040</v>
      </c>
      <c r="F448" s="10" t="str">
        <f t="shared" si="40"/>
        <v>PCCN: CRGARM:-:PLISN: CJ9Y :-:PCC: TIT :-: CAGE: 4C8S5:-:PART NUMBER: 870040:-:NOMENCLATURE: VIDEO TERMINAL,MULT:-:PRICE: $2660.31:-:UNIQUE MODS: NO:-:PROPRIETARILY MFG FOR OEM: NO:-: :-: :-: :-:NSN: 5820015689597 :-: NHA: 12574288</v>
      </c>
      <c r="G448" s="8" t="str">
        <f>IF([1]All!$B449="","",[1]All!$B449)</f>
        <v xml:space="preserve">CJ9Y </v>
      </c>
      <c r="H448" s="8"/>
      <c r="I448" s="8" t="str">
        <f>IF([1]All!$D449=0,"",[1]All!$D449)</f>
        <v>C</v>
      </c>
      <c r="J448" s="8" t="str">
        <f>IF([1]All!$E449=0,"",[1]All!$E449)</f>
        <v>4C8S5</v>
      </c>
      <c r="K448" s="8" t="s">
        <v>340</v>
      </c>
      <c r="L448" s="11" t="str">
        <f>IF([1]All!$L449=0,"",[1]All!$L449)</f>
        <v>VIDEO TERMINAL,MULT</v>
      </c>
      <c r="M448" s="7" t="str">
        <f>IF([1]All!$AJ449=0,"",[1]All!$AJ449)</f>
        <v xml:space="preserve">AAF6 </v>
      </c>
      <c r="N448" s="7" t="str">
        <f>IF([1]All!$R449=0,"",[1]All!$R449)</f>
        <v>5820</v>
      </c>
      <c r="O448" s="7" t="str">
        <f>IF([1]All!$S449=0,"",[1]All!$S449)</f>
        <v>015689597</v>
      </c>
      <c r="P448" s="7" t="str">
        <f>IF([1]All!$V449=0,"",[1]All!$V449)</f>
        <v>0000266031</v>
      </c>
      <c r="Q448" s="3" t="str">
        <f t="shared" si="41"/>
        <v>$2660.31</v>
      </c>
      <c r="R448" s="8" t="str">
        <f>IF([1]All!$F449=0,"",[1]All!$F449)</f>
        <v>870040</v>
      </c>
    </row>
    <row r="449" spans="1:18">
      <c r="A449" s="7"/>
      <c r="B449" s="3">
        <f t="shared" si="36"/>
        <v>67</v>
      </c>
      <c r="C449" s="3" t="str">
        <f t="shared" si="37"/>
        <v>C</v>
      </c>
      <c r="D449" s="9" t="str">
        <f t="shared" si="38"/>
        <v>MIL-001-1222</v>
      </c>
      <c r="E449" s="3" t="str">
        <f t="shared" si="39"/>
        <v>CKFU  MIL-001-1222</v>
      </c>
      <c r="F449" s="10" t="str">
        <f t="shared" si="40"/>
        <v>PCCN: CRGARM:-:PLISN: CKFU :-:PCC: TIT :-: CAGE: 0UJB5:-:PART NUMBER: MIL-001-1222:-:NOMENCLATURE: PAN AND TILT ASSEMB:-:PRICE: $9259.18:-:UNIQUE MODS: NO:-:PROPRIETARILY MFG FOR OEM: NO:-: :-: :-: :-:NSN: 5820016180190 :-: NHA: 12574288</v>
      </c>
      <c r="G449" s="8" t="str">
        <f>IF([1]All!$B450="","",[1]All!$B450)</f>
        <v xml:space="preserve">CKFU </v>
      </c>
      <c r="H449" s="8"/>
      <c r="I449" s="8" t="str">
        <f>IF([1]All!$D450=0,"",[1]All!$D450)</f>
        <v>C</v>
      </c>
      <c r="J449" s="8" t="str">
        <f>IF([1]All!$E450=0,"",[1]All!$E450)</f>
        <v>0UJB5</v>
      </c>
      <c r="K449" s="8" t="s">
        <v>341</v>
      </c>
      <c r="L449" s="11" t="str">
        <f>IF([1]All!$L450=0,"",[1]All!$L450)</f>
        <v>PAN AND TILT ASSEMB</v>
      </c>
      <c r="M449" s="7" t="str">
        <f>IF([1]All!$AJ450=0,"",[1]All!$AJ450)</f>
        <v xml:space="preserve">AAF6 </v>
      </c>
      <c r="N449" s="7" t="str">
        <f>IF([1]All!$R450=0,"",[1]All!$R450)</f>
        <v>5820</v>
      </c>
      <c r="O449" s="7" t="str">
        <f>IF([1]All!$S450=0,"",[1]All!$S450)</f>
        <v>016180190</v>
      </c>
      <c r="P449" s="7" t="str">
        <f>IF([1]All!$V450=0,"",[1]All!$V450)</f>
        <v>0000925918</v>
      </c>
      <c r="Q449" s="3" t="str">
        <f t="shared" si="41"/>
        <v>$9259.18</v>
      </c>
      <c r="R449" s="8" t="str">
        <f>IF([1]All!$F450=0,"",[1]All!$F450)</f>
        <v>MIL-001-1222</v>
      </c>
    </row>
    <row r="450" spans="1:18">
      <c r="A450" s="7"/>
      <c r="B450" s="3">
        <f t="shared" ref="B450:B513" si="42">IF(C450="","",CODE(C450))</f>
        <v>67</v>
      </c>
      <c r="C450" s="3" t="str">
        <f t="shared" si="37"/>
        <v>C</v>
      </c>
      <c r="D450" s="9" t="str">
        <f t="shared" si="38"/>
        <v>501447</v>
      </c>
      <c r="E450" s="3" t="str">
        <f t="shared" si="39"/>
        <v>CKMQ  501447</v>
      </c>
      <c r="F450" s="10" t="str">
        <f t="shared" si="40"/>
        <v>PCCN: CRGARM:-:PLISN: CKMQ :-:PCC: TIT :-: CAGE: 4C8S5:-:PART NUMBER: 501447:-:NOMENCLATURE: BRACKET,MOUNTING:-:PRICE: $138.93:-:UNIQUE MODS: NO:-:PROPRIETARILY MFG FOR OEM: NO:-: :-: :-: :-:NSN: 5340016005368 :-: NHA: 12574288</v>
      </c>
      <c r="G450" s="8" t="str">
        <f>IF([1]All!$B451="","",[1]All!$B451)</f>
        <v xml:space="preserve">CKMQ </v>
      </c>
      <c r="H450" s="8"/>
      <c r="I450" s="8" t="str">
        <f>IF([1]All!$D451=0,"",[1]All!$D451)</f>
        <v>C</v>
      </c>
      <c r="J450" s="8" t="str">
        <f>IF([1]All!$E451=0,"",[1]All!$E451)</f>
        <v>4C8S5</v>
      </c>
      <c r="K450" s="8" t="s">
        <v>342</v>
      </c>
      <c r="L450" s="11" t="str">
        <f>IF([1]All!$L451=0,"",[1]All!$L451)</f>
        <v>BRACKET,MOUNTING</v>
      </c>
      <c r="M450" s="7" t="str">
        <f>IF([1]All!$AJ451=0,"",[1]All!$AJ451)</f>
        <v xml:space="preserve">AAF6 </v>
      </c>
      <c r="N450" s="7" t="str">
        <f>IF([1]All!$R451=0,"",[1]All!$R451)</f>
        <v>5340</v>
      </c>
      <c r="O450" s="7" t="str">
        <f>IF([1]All!$S451=0,"",[1]All!$S451)</f>
        <v>016005368</v>
      </c>
      <c r="P450" s="7" t="str">
        <f>IF([1]All!$V451=0,"",[1]All!$V451)</f>
        <v>0000013893</v>
      </c>
      <c r="Q450" s="3" t="str">
        <f t="shared" si="41"/>
        <v>$138.93</v>
      </c>
      <c r="R450" s="8" t="str">
        <f>IF([1]All!$F451=0,"",[1]All!$F451)</f>
        <v>501447</v>
      </c>
    </row>
    <row r="451" spans="1:18">
      <c r="A451" s="7"/>
      <c r="B451" s="3">
        <f t="shared" si="42"/>
        <v>67</v>
      </c>
      <c r="C451" s="3" t="str">
        <f t="shared" ref="C451:C515" si="43">I451</f>
        <v>C</v>
      </c>
      <c r="D451" s="9" t="str">
        <f t="shared" ref="D451:D515" si="44">K451</f>
        <v>MIL-001-090</v>
      </c>
      <c r="E451" s="3" t="str">
        <f t="shared" ref="E451:E515" si="45">G451&amp;" "&amp;D451</f>
        <v>CKTL  MIL-001-090</v>
      </c>
      <c r="F451" s="10" t="str">
        <f t="shared" ref="F451:F516" si="46">$A$2&amp;":-:"&amp;"PLISN: "&amp;$G451&amp;":-:"&amp;$A$4&amp;" :-: "&amp;"CAGE: "&amp;J451&amp;":-:"&amp;"PART NUMBER: " &amp; R451&amp;":-:NOMENCLATURE: "&amp;L451&amp;":-:PRICE: " &amp; Q451&amp;":-:"&amp;$A$9&amp;":-:"&amp;$A$10&amp;":-: :-: :-: :-:"&amp;IF(N451="","","NSN: "&amp;N451&amp;O451)&amp;IF(M451="",""," :-: NHA: "&amp;VLOOKUP(M451,G$2:L$65000,5,FALSE)&amp;IF(VLOOKUP(M451,G$2:O$65000,8,FALSE)="",""," :-: NHA NSN: "&amp;VLOOKUP(M451,G$2:O$65000,8,FALSE)&amp;VLOOKUP(M451,G$2:O$65000,9,FALSE)))</f>
        <v>PCCN: CRGARM:-:PLISN: CKTL :-:PCC: TIT :-: CAGE: 0UJB5:-:PART NUMBER: MIL-001-090:-:NOMENCLATURE: CABLE ASSEMBLY,SPEC:-:PRICE: $256.15:-:UNIQUE MODS: NO:-:PROPRIETARILY MFG FOR OEM: NO:-: :-: :-: :-:NSN: 6150015645677 :-: NHA: 12574288</v>
      </c>
      <c r="G451" s="8" t="str">
        <f>IF([1]All!$B452="","",[1]All!$B452)</f>
        <v xml:space="preserve">CKTL </v>
      </c>
      <c r="H451" s="8"/>
      <c r="I451" s="8" t="str">
        <f>IF([1]All!$D452=0,"",[1]All!$D452)</f>
        <v>C</v>
      </c>
      <c r="J451" s="8" t="str">
        <f>IF([1]All!$E452=0,"",[1]All!$E452)</f>
        <v>0UJB5</v>
      </c>
      <c r="K451" s="8" t="s">
        <v>343</v>
      </c>
      <c r="L451" s="11" t="str">
        <f>IF([1]All!$L452=0,"",[1]All!$L452)</f>
        <v>CABLE ASSEMBLY,SPEC</v>
      </c>
      <c r="M451" s="7" t="str">
        <f>IF([1]All!$AJ452=0,"",[1]All!$AJ452)</f>
        <v xml:space="preserve">AAF6 </v>
      </c>
      <c r="N451" s="7" t="str">
        <f>IF([1]All!$R452=0,"",[1]All!$R452)</f>
        <v>6150</v>
      </c>
      <c r="O451" s="7" t="str">
        <f>IF([1]All!$S452=0,"",[1]All!$S452)</f>
        <v>015645677</v>
      </c>
      <c r="P451" s="7" t="str">
        <f>IF([1]All!$V452=0,"",[1]All!$V452)</f>
        <v>0000025615</v>
      </c>
      <c r="Q451" s="3" t="str">
        <f t="shared" ref="Q451:Q515" si="47">IF(ISERROR(FIND(".",P451*0.01)),"$"&amp;P451*0.01&amp;".00",IF(FIND(".",P451*0.01)&lt;LEN(P451*0.01)-1,"$"&amp;P451*0.01,"$"&amp;P451*0.01&amp;"0"))</f>
        <v>$256.15</v>
      </c>
      <c r="R451" s="8" t="str">
        <f>IF([1]All!$F452=0,"",[1]All!$F452)</f>
        <v>MIL-001-090</v>
      </c>
    </row>
    <row r="452" spans="1:18">
      <c r="A452" s="7"/>
      <c r="B452" s="3">
        <f t="shared" si="42"/>
        <v>67</v>
      </c>
      <c r="C452" s="3" t="str">
        <f t="shared" si="43"/>
        <v>C</v>
      </c>
      <c r="D452" s="9" t="str">
        <f t="shared" si="44"/>
        <v>MIL-001-1574</v>
      </c>
      <c r="E452" s="3" t="str">
        <f t="shared" si="45"/>
        <v>CKZG  MIL-001-1574</v>
      </c>
      <c r="F452" s="10" t="str">
        <f t="shared" si="46"/>
        <v>PCCN: CRGARM:-:PLISN: CKZG :-:PCC: TIT :-: CAGE: 0UJB5:-:PART NUMBER: MIL-001-1574:-:NOMENCLATURE: CABLE ASSEMBLY,SPEC:-:PRICE: $861.63:-:UNIQUE MODS: NO:-:PROPRIETARILY MFG FOR OEM: NO:-: :-: :-: :-: :-: NHA: 12574288</v>
      </c>
      <c r="G452" s="8" t="str">
        <f>IF([1]All!$B453="","",[1]All!$B453)</f>
        <v xml:space="preserve">CKZG </v>
      </c>
      <c r="H452" s="8"/>
      <c r="I452" s="8" t="str">
        <f>IF([1]All!$D453=0,"",[1]All!$D453)</f>
        <v>C</v>
      </c>
      <c r="J452" s="8" t="str">
        <f>IF([1]All!$E453=0,"",[1]All!$E453)</f>
        <v>0UJB5</v>
      </c>
      <c r="K452" s="8" t="s">
        <v>443</v>
      </c>
      <c r="L452" s="11" t="str">
        <f>IF([1]All!$L453=0,"",[1]All!$L453)</f>
        <v>CABLE ASSEMBLY,SPEC</v>
      </c>
      <c r="M452" s="7" t="str">
        <f>IF([1]All!$AJ453=0,"",[1]All!$AJ453)</f>
        <v xml:space="preserve">AAF6 </v>
      </c>
      <c r="N452" s="7" t="str">
        <f>IF([1]All!$R453=0,"",[1]All!$R453)</f>
        <v/>
      </c>
      <c r="O452" s="7" t="str">
        <f>IF([1]All!$S453=0,"",[1]All!$S453)</f>
        <v/>
      </c>
      <c r="P452" s="7" t="str">
        <f>IF([1]All!$V453=0,"",[1]All!$V453)</f>
        <v>0000086163</v>
      </c>
      <c r="Q452" s="3" t="str">
        <f t="shared" si="47"/>
        <v>$861.63</v>
      </c>
      <c r="R452" s="8" t="str">
        <f>IF([1]All!$F453=0,"",[1]All!$F453)</f>
        <v>MIL-001-1574</v>
      </c>
    </row>
    <row r="453" spans="1:18">
      <c r="A453" s="7"/>
      <c r="B453" s="3">
        <f t="shared" si="42"/>
        <v>67</v>
      </c>
      <c r="C453" s="3" t="str">
        <f t="shared" si="43"/>
        <v>C</v>
      </c>
      <c r="D453" s="9" t="str">
        <f t="shared" si="44"/>
        <v>MIL-001-339</v>
      </c>
      <c r="E453" s="3" t="str">
        <f t="shared" si="45"/>
        <v>CK5C  MIL-001-339</v>
      </c>
      <c r="F453" s="10" t="str">
        <f t="shared" si="46"/>
        <v>PCCN: CRGARM:-:PLISN: CK5C :-:PCC: TIT :-: CAGE: 0UJB5:-:PART NUMBER: MIL-001-339:-:NOMENCLATURE: CABLE ASSEMBLY,SPEC:-:PRICE: $793.31:-:UNIQUE MODS: NO:-:PROPRIETARILY MFG FOR OEM: NO:-: :-: :-: :-:NSN: 6150015645679 :-: NHA: 12574288</v>
      </c>
      <c r="G453" s="8" t="str">
        <f>IF([1]All!$B454="","",[1]All!$B454)</f>
        <v xml:space="preserve">CK5C </v>
      </c>
      <c r="H453" s="8"/>
      <c r="I453" s="8" t="str">
        <f>IF([1]All!$D454=0,"",[1]All!$D454)</f>
        <v>C</v>
      </c>
      <c r="J453" s="8" t="str">
        <f>IF([1]All!$E454=0,"",[1]All!$E454)</f>
        <v>0UJB5</v>
      </c>
      <c r="K453" s="8" t="s">
        <v>344</v>
      </c>
      <c r="L453" s="11" t="str">
        <f>IF([1]All!$L454=0,"",[1]All!$L454)</f>
        <v>CABLE ASSEMBLY,SPEC</v>
      </c>
      <c r="M453" s="7" t="str">
        <f>IF([1]All!$AJ454=0,"",[1]All!$AJ454)</f>
        <v xml:space="preserve">AAF6 </v>
      </c>
      <c r="N453" s="7" t="str">
        <f>IF([1]All!$R454=0,"",[1]All!$R454)</f>
        <v>6150</v>
      </c>
      <c r="O453" s="7" t="str">
        <f>IF([1]All!$S454=0,"",[1]All!$S454)</f>
        <v>015645679</v>
      </c>
      <c r="P453" s="7" t="str">
        <f>IF([1]All!$V454=0,"",[1]All!$V454)</f>
        <v>0000079331</v>
      </c>
      <c r="Q453" s="3" t="str">
        <f t="shared" si="47"/>
        <v>$793.31</v>
      </c>
      <c r="R453" s="8" t="str">
        <f>IF([1]All!$F454=0,"",[1]All!$F454)</f>
        <v>MIL-001-339</v>
      </c>
    </row>
    <row r="454" spans="1:18">
      <c r="A454" s="7"/>
      <c r="B454" s="3">
        <f t="shared" si="42"/>
        <v>67</v>
      </c>
      <c r="C454" s="3" t="str">
        <f t="shared" si="43"/>
        <v>C</v>
      </c>
      <c r="D454" s="9" t="str">
        <f t="shared" si="44"/>
        <v>MIL-001-420</v>
      </c>
      <c r="E454" s="3" t="str">
        <f t="shared" si="45"/>
        <v>CLA8  MIL-001-420</v>
      </c>
      <c r="F454" s="10" t="str">
        <f t="shared" si="46"/>
        <v>PCCN: CRGARM:-:PLISN: CLA8 :-:PCC: TIT :-: CAGE: 0UJB5:-:PART NUMBER: MIL-001-420:-:NOMENCLATURE: SCREW,CAP,HEXAGON H:-:PRICE: $15.65:-:UNIQUE MODS: NO:-:PROPRIETARILY MFG FOR OEM: NO:-: :-: :-: :-:NSN: 5305015657188 :-: NHA: 12574288</v>
      </c>
      <c r="G454" s="8" t="str">
        <f>IF([1]All!$B455="","",[1]All!$B455)</f>
        <v xml:space="preserve">CLA8 </v>
      </c>
      <c r="H454" s="8"/>
      <c r="I454" s="8" t="str">
        <f>IF([1]All!$D455=0,"",[1]All!$D455)</f>
        <v>C</v>
      </c>
      <c r="J454" s="8" t="str">
        <f>IF([1]All!$E455=0,"",[1]All!$E455)</f>
        <v>0UJB5</v>
      </c>
      <c r="K454" s="8" t="s">
        <v>345</v>
      </c>
      <c r="L454" s="11" t="str">
        <f>IF([1]All!$L455=0,"",[1]All!$L455)</f>
        <v>SCREW,CAP,HEXAGON H</v>
      </c>
      <c r="M454" s="7" t="str">
        <f>IF([1]All!$AJ455=0,"",[1]All!$AJ455)</f>
        <v xml:space="preserve">AAF6 </v>
      </c>
      <c r="N454" s="7" t="str">
        <f>IF([1]All!$R455=0,"",[1]All!$R455)</f>
        <v>5305</v>
      </c>
      <c r="O454" s="7" t="str">
        <f>IF([1]All!$S455=0,"",[1]All!$S455)</f>
        <v>015657188</v>
      </c>
      <c r="P454" s="7" t="str">
        <f>IF([1]All!$V455=0,"",[1]All!$V455)</f>
        <v>0000001565</v>
      </c>
      <c r="Q454" s="3" t="str">
        <f t="shared" si="47"/>
        <v>$15.65</v>
      </c>
      <c r="R454" s="8" t="str">
        <f>IF([1]All!$F455=0,"",[1]All!$F455)</f>
        <v>MIL-001-420</v>
      </c>
    </row>
    <row r="455" spans="1:18">
      <c r="A455" s="7"/>
      <c r="B455" s="3">
        <f t="shared" si="42"/>
        <v>67</v>
      </c>
      <c r="C455" s="3" t="str">
        <f t="shared" si="43"/>
        <v>C</v>
      </c>
      <c r="D455" s="9" t="str">
        <f t="shared" si="44"/>
        <v>HBL11</v>
      </c>
      <c r="E455" s="3" t="str">
        <f t="shared" si="45"/>
        <v>CLG4  HBL11</v>
      </c>
      <c r="F455" s="10" t="str">
        <f t="shared" si="46"/>
        <v>PCCN: CRGARM:-:PLISN: CLG4 :-:PCC: TIT :-: CAGE: 74545:-:PART NUMBER: HBL11:-:NOMENCLATURE: SWITCH,TOGGLE:-:PRICE: $8.40:-:UNIQUE MODS: NO:-:PROPRIETARILY MFG FOR OEM: NO:-: :-: :-: :-:NSN: 5930015659033 :-: NHA: 12574288</v>
      </c>
      <c r="G455" s="8" t="str">
        <f>IF([1]All!$B456="","",[1]All!$B456)</f>
        <v xml:space="preserve">CLG4 </v>
      </c>
      <c r="H455" s="8"/>
      <c r="I455" s="8" t="str">
        <f>IF([1]All!$D456=0,"",[1]All!$D456)</f>
        <v>C</v>
      </c>
      <c r="J455" s="8" t="str">
        <f>IF([1]All!$E456=0,"",[1]All!$E456)</f>
        <v>74545</v>
      </c>
      <c r="K455" s="8" t="s">
        <v>346</v>
      </c>
      <c r="L455" s="11" t="str">
        <f>IF([1]All!$L456=0,"",[1]All!$L456)</f>
        <v>SWITCH,TOGGLE</v>
      </c>
      <c r="M455" s="7" t="str">
        <f>IF([1]All!$AJ456=0,"",[1]All!$AJ456)</f>
        <v xml:space="preserve">AAF6 </v>
      </c>
      <c r="N455" s="7" t="str">
        <f>IF([1]All!$R456=0,"",[1]All!$R456)</f>
        <v>5930</v>
      </c>
      <c r="O455" s="7" t="str">
        <f>IF([1]All!$S456=0,"",[1]All!$S456)</f>
        <v>015659033</v>
      </c>
      <c r="P455" s="7" t="str">
        <f>IF([1]All!$V456=0,"",[1]All!$V456)</f>
        <v>0000000840</v>
      </c>
      <c r="Q455" s="3" t="str">
        <f t="shared" si="47"/>
        <v>$8.40</v>
      </c>
      <c r="R455" s="8" t="str">
        <f>IF([1]All!$F456=0,"",[1]All!$F456)</f>
        <v>HBL11</v>
      </c>
    </row>
    <row r="456" spans="1:18">
      <c r="A456" s="7"/>
      <c r="B456" s="3">
        <f t="shared" si="42"/>
        <v>67</v>
      </c>
      <c r="C456" s="3" t="str">
        <f t="shared" si="43"/>
        <v>C</v>
      </c>
      <c r="D456" s="9" t="str">
        <f t="shared" si="44"/>
        <v>700356-17</v>
      </c>
      <c r="E456" s="3" t="str">
        <f t="shared" si="45"/>
        <v>CLN0  700356-17</v>
      </c>
      <c r="F456" s="10" t="str">
        <f t="shared" si="46"/>
        <v>PCCN: CRGARM:-:PLISN: CLN0 :-:PCC: TIT :-: CAGE: 4C8S5:-:PART NUMBER: 700356-17:-:NOMENCLATURE: CABLE ASSEMBLY,SPEC:-:PRICE: $556.88:-:UNIQUE MODS: NO:-:PROPRIETARILY MFG FOR OEM: NO:-: :-: :-: :-:NSN: 6150015929129 :-: NHA: 12574288</v>
      </c>
      <c r="G456" s="8" t="str">
        <f>IF([1]All!$B457="","",[1]All!$B457)</f>
        <v xml:space="preserve">CLN0 </v>
      </c>
      <c r="H456" s="8"/>
      <c r="I456" s="8" t="str">
        <f>IF([1]All!$D457=0,"",[1]All!$D457)</f>
        <v>C</v>
      </c>
      <c r="J456" s="8" t="str">
        <f>IF([1]All!$E457=0,"",[1]All!$E457)</f>
        <v>4C8S5</v>
      </c>
      <c r="K456" s="8" t="s">
        <v>347</v>
      </c>
      <c r="L456" s="11" t="str">
        <f>IF([1]All!$L457=0,"",[1]All!$L457)</f>
        <v>CABLE ASSEMBLY,SPEC</v>
      </c>
      <c r="M456" s="7" t="str">
        <f>IF([1]All!$AJ457=0,"",[1]All!$AJ457)</f>
        <v xml:space="preserve">AAF6 </v>
      </c>
      <c r="N456" s="7" t="str">
        <f>IF([1]All!$R457=0,"",[1]All!$R457)</f>
        <v>6150</v>
      </c>
      <c r="O456" s="7" t="str">
        <f>IF([1]All!$S457=0,"",[1]All!$S457)</f>
        <v>015929129</v>
      </c>
      <c r="P456" s="7" t="str">
        <f>IF([1]All!$V457=0,"",[1]All!$V457)</f>
        <v>0000055688</v>
      </c>
      <c r="Q456" s="3" t="str">
        <f t="shared" si="47"/>
        <v>$556.88</v>
      </c>
      <c r="R456" s="8" t="str">
        <f>IF([1]All!$F457=0,"",[1]All!$F457)</f>
        <v>700356-17</v>
      </c>
    </row>
    <row r="457" spans="1:18">
      <c r="A457" s="7"/>
      <c r="B457" s="3">
        <f t="shared" si="42"/>
        <v>66</v>
      </c>
      <c r="C457" s="3" t="str">
        <f t="shared" si="43"/>
        <v>B</v>
      </c>
      <c r="D457" s="9" t="str">
        <f t="shared" si="44"/>
        <v>12574289</v>
      </c>
      <c r="E457" s="3" t="str">
        <f t="shared" si="45"/>
        <v>CLUW  12574289</v>
      </c>
      <c r="F457" s="10" t="str">
        <f t="shared" si="46"/>
        <v>PCCN: CRGARM:-:PLISN: CLUW :-:PCC: TIT :-: CAGE: 19207:-:PART NUMBER: 12574289:-:NOMENCLATURE: INSTALLATION KIT:-:PRICE: $0.01:-:UNIQUE MODS: NO:-:PROPRIETARILY MFG FOR OEM: NO:-: :-: :-: :-: :-: NHA: MMPV TYPE II CPD 3.8 :-: NHA NSN: 2590016185030</v>
      </c>
      <c r="G457" s="8" t="str">
        <f>IF([1]All!$B458="","",[1]All!$B458)</f>
        <v xml:space="preserve">CLUW </v>
      </c>
      <c r="H457" s="8"/>
      <c r="I457" s="8" t="str">
        <f>IF([1]All!$D458=0,"",[1]All!$D458)</f>
        <v>B</v>
      </c>
      <c r="J457" s="8" t="str">
        <f>IF([1]All!$E458=0,"",[1]All!$E458)</f>
        <v>19207</v>
      </c>
      <c r="K457" s="8" t="s">
        <v>348</v>
      </c>
      <c r="L457" s="11" t="str">
        <f>IF([1]All!$L458=0,"",[1]All!$L458)</f>
        <v>INSTALLATION KIT</v>
      </c>
      <c r="M457" s="7" t="str">
        <f>IF([1]All!$AJ458=0,"",[1]All!$AJ458)</f>
        <v xml:space="preserve">AAAA </v>
      </c>
      <c r="N457" s="7" t="str">
        <f>IF([1]All!$R458=0,"",[1]All!$R458)</f>
        <v/>
      </c>
      <c r="O457" s="7" t="str">
        <f>IF([1]All!$S458=0,"",[1]All!$S458)</f>
        <v/>
      </c>
      <c r="P457" s="7" t="str">
        <f>IF([1]All!$V458=0,"",[1]All!$V458)</f>
        <v>0000000001</v>
      </c>
      <c r="Q457" s="3" t="str">
        <f t="shared" si="47"/>
        <v>$0.01</v>
      </c>
      <c r="R457" s="8" t="str">
        <f>IF([1]All!$F458=0,"",[1]All!$F458)</f>
        <v>12574289</v>
      </c>
    </row>
    <row r="458" spans="1:18">
      <c r="A458" s="7"/>
      <c r="B458" s="3">
        <f t="shared" si="42"/>
        <v>67</v>
      </c>
      <c r="C458" s="3" t="str">
        <f t="shared" si="43"/>
        <v>C</v>
      </c>
      <c r="D458" s="9" t="str">
        <f t="shared" si="44"/>
        <v>12574291</v>
      </c>
      <c r="E458" s="3" t="str">
        <f t="shared" si="45"/>
        <v>CL0S  12574291</v>
      </c>
      <c r="F458" s="10" t="str">
        <f t="shared" si="46"/>
        <v>PCCN: CRGARM:-:PLISN: CL0S :-:PCC: TIT :-: CAGE: 19207:-:PART NUMBER: 12574291:-:NOMENCLATURE: BRACKET,ANGLE:-:PRICE: $51.94:-:UNIQUE MODS: NO:-:PROPRIETARILY MFG FOR OEM: NO:-: :-: :-: :-:NSN: 5340016291866 :-: NHA: 12574289</v>
      </c>
      <c r="G458" s="8" t="str">
        <f>IF([1]All!$B459="","",[1]All!$B459)</f>
        <v xml:space="preserve">CL0S </v>
      </c>
      <c r="H458" s="8"/>
      <c r="I458" s="8" t="str">
        <f>IF([1]All!$D459=0,"",[1]All!$D459)</f>
        <v>C</v>
      </c>
      <c r="J458" s="8">
        <f>IF([1]All!$E459=0,"",[1]All!$E459)</f>
        <v>19207</v>
      </c>
      <c r="K458" s="8" t="s">
        <v>349</v>
      </c>
      <c r="L458" s="11" t="str">
        <f>IF([1]All!$L459=0,"",[1]All!$L459)</f>
        <v>BRACKET,ANGLE</v>
      </c>
      <c r="M458" s="7" t="str">
        <f>IF([1]All!$AJ459=0,"",[1]All!$AJ459)</f>
        <v xml:space="preserve">CLUW </v>
      </c>
      <c r="N458" s="7" t="str">
        <f>IF([1]All!$R459=0,"",[1]All!$R459)</f>
        <v>5340</v>
      </c>
      <c r="O458" s="7" t="str">
        <f>IF([1]All!$S459=0,"",[1]All!$S459)</f>
        <v>016291866</v>
      </c>
      <c r="P458" s="7" t="str">
        <f>IF([1]All!$V459=0,"",[1]All!$V459)</f>
        <v>0000005194</v>
      </c>
      <c r="Q458" s="3" t="str">
        <f t="shared" si="47"/>
        <v>$51.94</v>
      </c>
      <c r="R458" s="8" t="str">
        <f>IF([1]All!$F459=0,"",[1]All!$F459)</f>
        <v>12574291</v>
      </c>
    </row>
    <row r="459" spans="1:18">
      <c r="A459" s="7"/>
      <c r="B459" s="3">
        <f t="shared" si="42"/>
        <v>67</v>
      </c>
      <c r="C459" s="3" t="str">
        <f t="shared" si="43"/>
        <v>C</v>
      </c>
      <c r="D459" s="9" t="str">
        <f t="shared" si="44"/>
        <v>90126A030</v>
      </c>
      <c r="E459" s="3" t="str">
        <f t="shared" si="45"/>
        <v>CL6N  90126A030</v>
      </c>
      <c r="F459" s="10" t="str">
        <f t="shared" si="46"/>
        <v>PCCN: CRGARM:-:PLISN: CL6N :-:PCC: TIT :-: CAGE: 39428:-:PART NUMBER: 90126A030:-:NOMENCLATURE: WASHER,FLAT:-:PRICE: $0.03:-:UNIQUE MODS: NO:-:PROPRIETARILY MFG FOR OEM: NO:-: :-: :-: :-:NSN: 5310015296246 :-: NHA: 12574289</v>
      </c>
      <c r="G459" s="8" t="str">
        <f>IF([1]All!$B460="","",[1]All!$B460)</f>
        <v xml:space="preserve">CL6N </v>
      </c>
      <c r="H459" s="8"/>
      <c r="I459" s="8" t="str">
        <f>IF([1]All!$D460=0,"",[1]All!$D460)</f>
        <v>C</v>
      </c>
      <c r="J459" s="8" t="str">
        <f>IF([1]All!$E460=0,"",[1]All!$E460)</f>
        <v>39428</v>
      </c>
      <c r="K459" s="8" t="s">
        <v>224</v>
      </c>
      <c r="L459" s="11" t="str">
        <f>IF([1]All!$L460=0,"",[1]All!$L460)</f>
        <v>WASHER,FLAT</v>
      </c>
      <c r="M459" s="7" t="str">
        <f>IF([1]All!$AJ460=0,"",[1]All!$AJ460)</f>
        <v xml:space="preserve">CLUW </v>
      </c>
      <c r="N459" s="7" t="str">
        <f>IF([1]All!$R460=0,"",[1]All!$R460)</f>
        <v>5310</v>
      </c>
      <c r="O459" s="7" t="str">
        <f>IF([1]All!$S460=0,"",[1]All!$S460)</f>
        <v>015296246</v>
      </c>
      <c r="P459" s="7" t="str">
        <f>IF([1]All!$V460=0,"",[1]All!$V460)</f>
        <v>0000000003</v>
      </c>
      <c r="Q459" s="3" t="str">
        <f t="shared" si="47"/>
        <v>$0.03</v>
      </c>
      <c r="R459" s="8" t="str">
        <f>IF([1]All!$F460=0,"",[1]All!$F460)</f>
        <v>90126A030</v>
      </c>
    </row>
    <row r="460" spans="1:18">
      <c r="A460" s="7"/>
      <c r="B460" s="3">
        <f t="shared" si="42"/>
        <v>67</v>
      </c>
      <c r="C460" s="3" t="str">
        <f t="shared" si="43"/>
        <v>C</v>
      </c>
      <c r="D460" s="9" t="str">
        <f t="shared" si="44"/>
        <v>1133620</v>
      </c>
      <c r="E460" s="3" t="str">
        <f t="shared" si="45"/>
        <v>CMCJ  1133620</v>
      </c>
      <c r="F460" s="10" t="str">
        <f t="shared" si="46"/>
        <v>PCCN: CRGARM:-:PLISN: CMCJ :-:PCC: TIT :-: CAGE: 0Y3H3:-:PART NUMBER: 1133620:-:NOMENCLATURE: WASHER,LOCK:-:PRICE: $9.78:-:UNIQUE MODS: NO:-:PROPRIETARILY MFG FOR OEM: NO:-: :-: :-: :-:NSN: 5310015835810 :-: NHA: 12574289</v>
      </c>
      <c r="G460" s="8" t="str">
        <f>IF([1]All!$B461="","",[1]All!$B461)</f>
        <v xml:space="preserve">CMCJ </v>
      </c>
      <c r="H460" s="8"/>
      <c r="I460" s="8" t="str">
        <f>IF([1]All!$D461=0,"",[1]All!$D461)</f>
        <v>C</v>
      </c>
      <c r="J460" s="8" t="str">
        <f>IF([1]All!$E461=0,"",[1]All!$E461)</f>
        <v>0Y3H3</v>
      </c>
      <c r="K460" s="8" t="s">
        <v>225</v>
      </c>
      <c r="L460" s="11" t="str">
        <f>IF([1]All!$L461=0,"",[1]All!$L461)</f>
        <v>WASHER,LOCK</v>
      </c>
      <c r="M460" s="7" t="str">
        <f>IF([1]All!$AJ461=0,"",[1]All!$AJ461)</f>
        <v xml:space="preserve">CLUW </v>
      </c>
      <c r="N460" s="7" t="str">
        <f>IF([1]All!$R461=0,"",[1]All!$R461)</f>
        <v>5310</v>
      </c>
      <c r="O460" s="7" t="str">
        <f>IF([1]All!$S461=0,"",[1]All!$S461)</f>
        <v>015835810</v>
      </c>
      <c r="P460" s="7" t="str">
        <f>IF([1]All!$V461=0,"",[1]All!$V461)</f>
        <v>0000000978</v>
      </c>
      <c r="Q460" s="3" t="str">
        <f t="shared" si="47"/>
        <v>$9.78</v>
      </c>
      <c r="R460" s="8" t="str">
        <f>IF([1]All!$F461=0,"",[1]All!$F461)</f>
        <v>1133620</v>
      </c>
    </row>
    <row r="461" spans="1:18">
      <c r="A461" s="7"/>
      <c r="B461" s="3">
        <f t="shared" si="42"/>
        <v>67</v>
      </c>
      <c r="C461" s="3" t="str">
        <f t="shared" si="43"/>
        <v>C</v>
      </c>
      <c r="D461" s="9" t="str">
        <f t="shared" si="44"/>
        <v>91286A155</v>
      </c>
      <c r="E461" s="3" t="str">
        <f t="shared" si="45"/>
        <v>CMJE  91286A155</v>
      </c>
      <c r="F461" s="10" t="str">
        <f t="shared" si="46"/>
        <v>PCCN: CRGARM:-:PLISN: CMJE :-:PCC: TIT :-: CAGE: 39428:-:PART NUMBER: 91286A155:-:NOMENCLATURE: SCREW,CAP,HEXAGON H:-:PRICE: $0.16:-:UNIQUE MODS: NO:-:PROPRIETARILY MFG FOR OEM: NO:-: :-: :-: :-:NSN: 5305014925872 :-: NHA: 12574289</v>
      </c>
      <c r="G461" s="8" t="str">
        <f>IF([1]All!$B462="","",[1]All!$B462)</f>
        <v xml:space="preserve">CMJE </v>
      </c>
      <c r="H461" s="8"/>
      <c r="I461" s="8" t="str">
        <f>IF([1]All!$D462=0,"",[1]All!$D462)</f>
        <v>C</v>
      </c>
      <c r="J461" s="8" t="str">
        <f>IF([1]All!$E462=0,"",[1]All!$E462)</f>
        <v>39428</v>
      </c>
      <c r="K461" s="8" t="s">
        <v>223</v>
      </c>
      <c r="L461" s="11" t="str">
        <f>IF([1]All!$L462=0,"",[1]All!$L462)</f>
        <v>SCREW,CAP,HEXAGON H</v>
      </c>
      <c r="M461" s="7" t="str">
        <f>IF([1]All!$AJ462=0,"",[1]All!$AJ462)</f>
        <v xml:space="preserve">CLUW </v>
      </c>
      <c r="N461" s="7" t="str">
        <f>IF([1]All!$R462=0,"",[1]All!$R462)</f>
        <v>5305</v>
      </c>
      <c r="O461" s="7" t="str">
        <f>IF([1]All!$S462=0,"",[1]All!$S462)</f>
        <v>014925872</v>
      </c>
      <c r="P461" s="7" t="str">
        <f>IF([1]All!$V462=0,"",[1]All!$V462)</f>
        <v>0000000016</v>
      </c>
      <c r="Q461" s="3" t="str">
        <f t="shared" si="47"/>
        <v>$0.16</v>
      </c>
      <c r="R461" s="8" t="str">
        <f>IF([1]All!$F462=0,"",[1]All!$F462)</f>
        <v>91286A155</v>
      </c>
    </row>
    <row r="462" spans="1:18">
      <c r="A462" s="7"/>
      <c r="B462" s="3">
        <f t="shared" si="42"/>
        <v>67</v>
      </c>
      <c r="C462" s="3" t="str">
        <f t="shared" si="43"/>
        <v>C</v>
      </c>
      <c r="D462" s="9" t="str">
        <f t="shared" si="44"/>
        <v>12574292</v>
      </c>
      <c r="E462" s="3" t="str">
        <f t="shared" si="45"/>
        <v>CMQA  12574292</v>
      </c>
      <c r="F462" s="10" t="str">
        <f t="shared" si="46"/>
        <v>PCCN: CRGARM:-:PLISN: CMQA :-:PCC: TIT :-: CAGE: 19207:-:PART NUMBER: 12574292:-:NOMENCLATURE: PLATE, IDENTIFICATI:-:PRICE: $25.00:-:UNIQUE MODS: NO:-:PROPRIETARILY MFG FOR OEM: NO:-: :-: :-: :-: :-: NHA: 12574289</v>
      </c>
      <c r="G462" s="8" t="str">
        <f>IF([1]All!$B463="","",[1]All!$B463)</f>
        <v xml:space="preserve">CMQA </v>
      </c>
      <c r="H462" s="8"/>
      <c r="I462" s="8" t="str">
        <f>IF([1]All!$D463=0,"",[1]All!$D463)</f>
        <v>C</v>
      </c>
      <c r="J462" s="8" t="str">
        <f>IF([1]All!$E463=0,"",[1]All!$E463)</f>
        <v>19207</v>
      </c>
      <c r="K462" s="8" t="s">
        <v>350</v>
      </c>
      <c r="L462" s="11" t="str">
        <f>IF([1]All!$L463=0,"",[1]All!$L463)</f>
        <v>PLATE, IDENTIFICATI</v>
      </c>
      <c r="M462" s="7" t="str">
        <f>IF([1]All!$AJ463=0,"",[1]All!$AJ463)</f>
        <v xml:space="preserve">CLUW </v>
      </c>
      <c r="N462" s="7" t="str">
        <f>IF([1]All!$R463=0,"",[1]All!$R463)</f>
        <v/>
      </c>
      <c r="O462" s="7" t="str">
        <f>IF([1]All!$S463=0,"",[1]All!$S463)</f>
        <v/>
      </c>
      <c r="P462" s="7" t="str">
        <f>IF([1]All!$V463=0,"",[1]All!$V463)</f>
        <v>0000002500</v>
      </c>
      <c r="Q462" s="3" t="str">
        <f t="shared" si="47"/>
        <v>$25.00</v>
      </c>
      <c r="R462" s="8" t="str">
        <f>IF([1]All!$F463=0,"",[1]All!$F463)</f>
        <v>12574292</v>
      </c>
    </row>
    <row r="463" spans="1:18">
      <c r="A463" s="7"/>
      <c r="B463" s="3">
        <f t="shared" si="42"/>
        <v>67</v>
      </c>
      <c r="C463" s="3" t="str">
        <f t="shared" si="43"/>
        <v>C</v>
      </c>
      <c r="D463" s="9" t="str">
        <f t="shared" si="44"/>
        <v>12574293</v>
      </c>
      <c r="E463" s="3" t="str">
        <f t="shared" si="45"/>
        <v>CMV6  12574293</v>
      </c>
      <c r="F463" s="10" t="str">
        <f t="shared" si="46"/>
        <v>PCCN: CRGARM:-:PLISN: CMV6 :-:PCC: TIT :-: CAGE: 19207:-:PART NUMBER: 12574293:-:NOMENCLATURE: BRACKET,VEHICULAR C:-:PRICE: $75.00:-:UNIQUE MODS: NO:-:PROPRIETARILY MFG FOR OEM: NO:-: :-: :-: :-:NSN: 2590016311275 :-: NHA: 12574289</v>
      </c>
      <c r="G463" s="8" t="str">
        <f>IF([1]All!$B464="","",[1]All!$B464)</f>
        <v xml:space="preserve">CMV6 </v>
      </c>
      <c r="H463" s="8"/>
      <c r="I463" s="8" t="str">
        <f>IF([1]All!$D464=0,"",[1]All!$D464)</f>
        <v>C</v>
      </c>
      <c r="J463" s="8" t="str">
        <f>IF([1]All!$E464=0,"",[1]All!$E464)</f>
        <v>19207</v>
      </c>
      <c r="K463" s="8" t="s">
        <v>351</v>
      </c>
      <c r="L463" s="11" t="str">
        <f>IF([1]All!$L464=0,"",[1]All!$L464)</f>
        <v>BRACKET,VEHICULAR C</v>
      </c>
      <c r="M463" s="7" t="str">
        <f>IF([1]All!$AJ464=0,"",[1]All!$AJ464)</f>
        <v xml:space="preserve">CLUW </v>
      </c>
      <c r="N463" s="7" t="str">
        <f>IF([1]All!$R464=0,"",[1]All!$R464)</f>
        <v>2590</v>
      </c>
      <c r="O463" s="7" t="str">
        <f>IF([1]All!$S464=0,"",[1]All!$S464)</f>
        <v>016311275</v>
      </c>
      <c r="P463" s="7" t="str">
        <f>IF([1]All!$V464=0,"",[1]All!$V464)</f>
        <v>0000007500</v>
      </c>
      <c r="Q463" s="3" t="str">
        <f t="shared" si="47"/>
        <v>$75.00</v>
      </c>
      <c r="R463" s="8" t="str">
        <f>IF([1]All!$F464=0,"",[1]All!$F464)</f>
        <v>12574293</v>
      </c>
    </row>
    <row r="464" spans="1:18">
      <c r="A464" s="7"/>
      <c r="B464" s="3">
        <f t="shared" si="42"/>
        <v>68</v>
      </c>
      <c r="C464" s="3" t="str">
        <f t="shared" si="43"/>
        <v>D</v>
      </c>
      <c r="D464" s="9" t="str">
        <f t="shared" si="44"/>
        <v>90126A031</v>
      </c>
      <c r="E464" s="3" t="str">
        <f t="shared" si="45"/>
        <v>CM12  90126A031</v>
      </c>
      <c r="F464" s="10" t="str">
        <f t="shared" si="46"/>
        <v>PCCN: CRGARM:-:PLISN: CM12 :-:PCC: TIT :-: CAGE: 39428:-:PART NUMBER: 90126A031:-:NOMENCLATURE: WASHER,FLAT:-:PRICE: $0.04:-:UNIQUE MODS: NO:-:PROPRIETARILY MFG FOR OEM: NO:-: :-: :-: :-:NSN: 5310015057694 :-: NHA: 12574293 :-: NHA NSN: 2590016311275</v>
      </c>
      <c r="G464" s="8" t="str">
        <f>IF([1]All!$B465="","",[1]All!$B465)</f>
        <v xml:space="preserve">CM12 </v>
      </c>
      <c r="H464" s="8"/>
      <c r="I464" s="8" t="str">
        <f>IF([1]All!$D465=0,"",[1]All!$D465)</f>
        <v>D</v>
      </c>
      <c r="J464" s="8" t="str">
        <f>IF([1]All!$E465=0,"",[1]All!$E465)</f>
        <v>39428</v>
      </c>
      <c r="K464" s="8" t="s">
        <v>352</v>
      </c>
      <c r="L464" s="11" t="str">
        <f>IF([1]All!$L465=0,"",[1]All!$L465)</f>
        <v>WASHER,FLAT</v>
      </c>
      <c r="M464" s="7" t="str">
        <f>IF([1]All!$AJ465=0,"",[1]All!$AJ465)</f>
        <v xml:space="preserve">CMV6 </v>
      </c>
      <c r="N464" s="7" t="str">
        <f>IF([1]All!$R465=0,"",[1]All!$R465)</f>
        <v>5310</v>
      </c>
      <c r="O464" s="7" t="str">
        <f>IF([1]All!$S465=0,"",[1]All!$S465)</f>
        <v>015057694</v>
      </c>
      <c r="P464" s="7" t="str">
        <f>IF([1]All!$V465=0,"",[1]All!$V465)</f>
        <v>0000000004</v>
      </c>
      <c r="Q464" s="3" t="str">
        <f t="shared" si="47"/>
        <v>$0.04</v>
      </c>
      <c r="R464" s="8" t="str">
        <f>IF([1]All!$F465=0,"",[1]All!$F465)</f>
        <v>90126A031</v>
      </c>
    </row>
    <row r="465" spans="1:18">
      <c r="A465" s="7"/>
      <c r="B465" s="3">
        <f t="shared" si="42"/>
        <v>68</v>
      </c>
      <c r="C465" s="3" t="str">
        <f t="shared" si="43"/>
        <v>D</v>
      </c>
      <c r="D465" s="9" t="str">
        <f t="shared" si="44"/>
        <v>91102A760</v>
      </c>
      <c r="E465" s="3" t="str">
        <f t="shared" si="45"/>
        <v>CM7Y  91102A760</v>
      </c>
      <c r="F465" s="10" t="str">
        <f t="shared" si="46"/>
        <v>PCCN: CRGARM:-:PLISN: CM7Y :-:PCC: TIT :-: CAGE: 39428:-:PART NUMBER: 91102A760:-:NOMENCLATURE: WASHER,LOCK:-:PRICE: $0.08:-:UNIQUE MODS: NO:-:PROPRIETARILY MFG FOR OEM: NO:-: :-: :-: :-:NSN: 5310015022934 :-: NHA: 12574293 :-: NHA NSN: 2590016311275</v>
      </c>
      <c r="G465" s="8" t="str">
        <f>IF([1]All!$B466="","",[1]All!$B466)</f>
        <v xml:space="preserve">CM7Y </v>
      </c>
      <c r="H465" s="8"/>
      <c r="I465" s="8" t="str">
        <f>IF([1]All!$D466=0,"",[1]All!$D466)</f>
        <v>D</v>
      </c>
      <c r="J465" s="8" t="str">
        <f>IF([1]All!$E466=0,"",[1]All!$E466)</f>
        <v>39428</v>
      </c>
      <c r="K465" s="8" t="s">
        <v>353</v>
      </c>
      <c r="L465" s="11" t="str">
        <f>IF([1]All!$L466=0,"",[1]All!$L466)</f>
        <v>WASHER,LOCK</v>
      </c>
      <c r="M465" s="7" t="str">
        <f>IF([1]All!$AJ466=0,"",[1]All!$AJ466)</f>
        <v xml:space="preserve">CMV6 </v>
      </c>
      <c r="N465" s="7" t="str">
        <f>IF([1]All!$R466=0,"",[1]All!$R466)</f>
        <v>5310</v>
      </c>
      <c r="O465" s="7" t="str">
        <f>IF([1]All!$S466=0,"",[1]All!$S466)</f>
        <v>015022934</v>
      </c>
      <c r="P465" s="7" t="str">
        <f>IF([1]All!$V466=0,"",[1]All!$V466)</f>
        <v>0000000008</v>
      </c>
      <c r="Q465" s="3" t="str">
        <f t="shared" si="47"/>
        <v>$0.08</v>
      </c>
      <c r="R465" s="8" t="str">
        <f>IF([1]All!$F466=0,"",[1]All!$F466)</f>
        <v>91102A760</v>
      </c>
    </row>
    <row r="466" spans="1:18">
      <c r="A466" s="7"/>
      <c r="B466" s="3">
        <f t="shared" si="42"/>
        <v>68</v>
      </c>
      <c r="C466" s="3" t="str">
        <f t="shared" si="43"/>
        <v>D</v>
      </c>
      <c r="D466" s="9" t="str">
        <f t="shared" si="44"/>
        <v>MIL-001-312</v>
      </c>
      <c r="E466" s="3" t="str">
        <f t="shared" si="45"/>
        <v>CNDU  MIL-001-312</v>
      </c>
      <c r="F466" s="10" t="str">
        <f t="shared" si="46"/>
        <v>PCCN: CRGARM:-:PLISN: CNDU :-:PCC: TIT :-: CAGE: 0UJB5:-:PART NUMBER: MIL-001-312:-:NOMENCLATURE: SCREW,CAP,HEXAGON H:-:PRICE: $0.45:-:UNIQUE MODS: NO:-:PROPRIETARILY MFG FOR OEM: NO:-: :-: :-: :-:NSN: 5305015163393 :-: NHA: 12574293 :-: NHA NSN: 2590016311275</v>
      </c>
      <c r="G466" s="8" t="str">
        <f>IF([1]All!$B467="","",[1]All!$B467)</f>
        <v xml:space="preserve">CNDU </v>
      </c>
      <c r="H466" s="8"/>
      <c r="I466" s="8" t="str">
        <f>IF([1]All!$D467=0,"",[1]All!$D467)</f>
        <v>D</v>
      </c>
      <c r="J466" s="8" t="str">
        <f>IF([1]All!$E467=0,"",[1]All!$E467)</f>
        <v>0UJB5</v>
      </c>
      <c r="K466" s="8" t="s">
        <v>354</v>
      </c>
      <c r="L466" s="11" t="str">
        <f>IF([1]All!$L467=0,"",[1]All!$L467)</f>
        <v>SCREW,CAP,HEXAGON H</v>
      </c>
      <c r="M466" s="7" t="str">
        <f>IF([1]All!$AJ467=0,"",[1]All!$AJ467)</f>
        <v xml:space="preserve">CMV6 </v>
      </c>
      <c r="N466" s="7" t="str">
        <f>IF([1]All!$R467=0,"",[1]All!$R467)</f>
        <v>5305</v>
      </c>
      <c r="O466" s="7" t="str">
        <f>IF([1]All!$S467=0,"",[1]All!$S467)</f>
        <v>015163393</v>
      </c>
      <c r="P466" s="7" t="str">
        <f>IF([1]All!$V467=0,"",[1]All!$V467)</f>
        <v>0000000045</v>
      </c>
      <c r="Q466" s="3" t="str">
        <f t="shared" si="47"/>
        <v>$0.45</v>
      </c>
      <c r="R466" s="8" t="str">
        <f>IF([1]All!$F467=0,"",[1]All!$F467)</f>
        <v>MIL-001-312</v>
      </c>
    </row>
    <row r="467" spans="1:18">
      <c r="A467" s="7"/>
      <c r="B467" s="3">
        <f t="shared" si="42"/>
        <v>68</v>
      </c>
      <c r="C467" s="3" t="str">
        <f t="shared" si="43"/>
        <v>D</v>
      </c>
      <c r="D467" s="9" t="str">
        <f t="shared" si="44"/>
        <v>12574304</v>
      </c>
      <c r="E467" s="3" t="str">
        <f t="shared" si="45"/>
        <v>CNKQ  12574304</v>
      </c>
      <c r="F467" s="10" t="str">
        <f t="shared" si="46"/>
        <v>PCCN: CRGARM:-:PLISN: CNKQ :-:PCC: TIT :-: CAGE: 19207:-:PART NUMBER: 12574304:-:NOMENCLATURE: BRACKET,VEHICULAR C:-:PRICE: $55.00:-:UNIQUE MODS: NO:-:PROPRIETARILY MFG FOR OEM: NO:-: :-: :-: :-:NSN: 2590016311274 :-: NHA: 12574293 :-: NHA NSN: 2590016311275</v>
      </c>
      <c r="G467" s="8" t="str">
        <f>IF([1]All!$B468="","",[1]All!$B468)</f>
        <v xml:space="preserve">CNKQ </v>
      </c>
      <c r="H467" s="8"/>
      <c r="I467" s="8" t="str">
        <f>IF([1]All!$D468=0,"",[1]All!$D468)</f>
        <v>D</v>
      </c>
      <c r="J467" s="8" t="str">
        <f>IF([1]All!$E468=0,"",[1]All!$E468)</f>
        <v>19207</v>
      </c>
      <c r="K467" s="8" t="s">
        <v>355</v>
      </c>
      <c r="L467" s="11" t="str">
        <f>IF([1]All!$L468=0,"",[1]All!$L468)</f>
        <v>BRACKET,VEHICULAR C</v>
      </c>
      <c r="M467" s="7" t="str">
        <f>IF([1]All!$AJ468=0,"",[1]All!$AJ468)</f>
        <v xml:space="preserve">CMV6 </v>
      </c>
      <c r="N467" s="7" t="str">
        <f>IF([1]All!$R468=0,"",[1]All!$R468)</f>
        <v>2590</v>
      </c>
      <c r="O467" s="7" t="str">
        <f>IF([1]All!$S468=0,"",[1]All!$S468)</f>
        <v>016311274</v>
      </c>
      <c r="P467" s="7" t="str">
        <f>IF([1]All!$V468=0,"",[1]All!$V468)</f>
        <v>0000005500</v>
      </c>
      <c r="Q467" s="3" t="str">
        <f t="shared" si="47"/>
        <v>$55.00</v>
      </c>
      <c r="R467" s="8" t="str">
        <f>IF([1]All!$F468=0,"",[1]All!$F468)</f>
        <v>12574304</v>
      </c>
    </row>
    <row r="468" spans="1:18">
      <c r="A468" s="7"/>
      <c r="B468" s="3">
        <f t="shared" si="42"/>
        <v>68</v>
      </c>
      <c r="C468" s="3" t="str">
        <f t="shared" si="43"/>
        <v>D</v>
      </c>
      <c r="D468" s="9" t="str">
        <f t="shared" si="44"/>
        <v>12574317</v>
      </c>
      <c r="E468" s="3" t="str">
        <f t="shared" si="45"/>
        <v>CNRL  12574317</v>
      </c>
      <c r="F468" s="10" t="str">
        <f t="shared" si="46"/>
        <v>PCCN: CRGARM:-:PLISN: CNRL :-:PCC: TIT :-: CAGE: 19207:-:PART NUMBER: 12574317:-:NOMENCLATURE: TUBING,NONMETALLIC:-:PRICE: $20.00:-:UNIQUE MODS: NO:-:PROPRIETARILY MFG FOR OEM: NO:-: :-: :-: :-:NSN: 4710016314273 :-: NHA: 12574293 :-: NHA NSN: 2590016311275</v>
      </c>
      <c r="G468" s="8" t="str">
        <f>IF([1]All!$B469="","",[1]All!$B469)</f>
        <v xml:space="preserve">CNRL </v>
      </c>
      <c r="H468" s="8"/>
      <c r="I468" s="8" t="str">
        <f>IF([1]All!$D469=0,"",[1]All!$D469)</f>
        <v>D</v>
      </c>
      <c r="J468" s="8" t="str">
        <f>IF([1]All!$E469=0,"",[1]All!$E469)</f>
        <v>19207</v>
      </c>
      <c r="K468" s="8" t="s">
        <v>356</v>
      </c>
      <c r="L468" s="11" t="str">
        <f>IF([1]All!$L469=0,"",[1]All!$L469)</f>
        <v>TUBING,NONMETALLIC</v>
      </c>
      <c r="M468" s="7" t="str">
        <f>IF([1]All!$AJ469=0,"",[1]All!$AJ469)</f>
        <v xml:space="preserve">CMV6 </v>
      </c>
      <c r="N468" s="7" t="str">
        <f>IF([1]All!$R469=0,"",[1]All!$R469)</f>
        <v>4710</v>
      </c>
      <c r="O468" s="7" t="str">
        <f>IF([1]All!$S469=0,"",[1]All!$S469)</f>
        <v>016314273</v>
      </c>
      <c r="P468" s="7" t="str">
        <f>IF([1]All!$V469=0,"",[1]All!$V469)</f>
        <v>0000002000</v>
      </c>
      <c r="Q468" s="3" t="str">
        <f t="shared" si="47"/>
        <v>$20.00</v>
      </c>
      <c r="R468" s="8" t="str">
        <f>IF([1]All!$F469=0,"",[1]All!$F469)</f>
        <v>12574317</v>
      </c>
    </row>
    <row r="469" spans="1:18">
      <c r="A469" s="7"/>
      <c r="B469" s="3">
        <f t="shared" si="42"/>
        <v>68</v>
      </c>
      <c r="C469" s="3" t="str">
        <f t="shared" si="43"/>
        <v>D</v>
      </c>
      <c r="D469" s="9" t="str">
        <f t="shared" si="44"/>
        <v>6157K16</v>
      </c>
      <c r="E469" s="3" t="str">
        <f t="shared" si="45"/>
        <v>CNXG  6157K16</v>
      </c>
      <c r="F469" s="10" t="str">
        <f t="shared" si="46"/>
        <v>PCCN: CRGARM:-:PLISN: CNXG :-:PCC: TIT :-: CAGE: 2V507:-:PART NUMBER: 6157K16:-:NOMENCLATURE: COLLAR,SHAFT:-:PRICE: $3.97:-:UNIQUE MODS: NO:-:PROPRIETARILY MFG FOR OEM: NO:-: :-: :-: :-:NSN: 3040016232488 :-: NHA: 12574293 :-: NHA NSN: 2590016311275</v>
      </c>
      <c r="G469" s="8" t="str">
        <f>IF([1]All!$B470="","",[1]All!$B470)</f>
        <v xml:space="preserve">CNXG </v>
      </c>
      <c r="H469" s="8"/>
      <c r="I469" s="8" t="str">
        <f>IF([1]All!$D470=0,"",[1]All!$D470)</f>
        <v>D</v>
      </c>
      <c r="J469" s="8" t="str">
        <f>IF([1]All!$E470=0,"",[1]All!$E470)</f>
        <v>2V507</v>
      </c>
      <c r="K469" s="8" t="s">
        <v>357</v>
      </c>
      <c r="L469" s="11" t="str">
        <f>IF([1]All!$L470=0,"",[1]All!$L470)</f>
        <v>COLLAR,SHAFT</v>
      </c>
      <c r="M469" s="7" t="str">
        <f>IF([1]All!$AJ470=0,"",[1]All!$AJ470)</f>
        <v xml:space="preserve">CMV6 </v>
      </c>
      <c r="N469" s="7" t="str">
        <f>IF([1]All!$R470=0,"",[1]All!$R470)</f>
        <v>3040</v>
      </c>
      <c r="O469" s="7" t="str">
        <f>IF([1]All!$S470=0,"",[1]All!$S470)</f>
        <v>016232488</v>
      </c>
      <c r="P469" s="7" t="str">
        <f>IF([1]All!$V470=0,"",[1]All!$V470)</f>
        <v>0000000397</v>
      </c>
      <c r="Q469" s="3" t="str">
        <f t="shared" si="47"/>
        <v>$3.97</v>
      </c>
      <c r="R469" s="8" t="str">
        <f>IF([1]All!$F470=0,"",[1]All!$F470)</f>
        <v>6157K16</v>
      </c>
    </row>
    <row r="470" spans="1:18">
      <c r="A470" s="7"/>
      <c r="B470" s="3">
        <f t="shared" si="42"/>
        <v>67</v>
      </c>
      <c r="C470" s="3" t="str">
        <f t="shared" si="43"/>
        <v>C</v>
      </c>
      <c r="D470" s="9" t="str">
        <f t="shared" si="44"/>
        <v>12574295</v>
      </c>
      <c r="E470" s="3" t="str">
        <f t="shared" si="45"/>
        <v>CN3C  12574295</v>
      </c>
      <c r="F470" s="10" t="str">
        <f t="shared" si="46"/>
        <v>PCCN: CRGARM:-:PLISN: CN3C :-:PCC: TIT :-: CAGE: 19207:-:PART NUMBER: 12574295:-:NOMENCLATURE: BRACKET,VEHICULAR C:-:PRICE: $375.00:-:UNIQUE MODS: NO:-:PROPRIETARILY MFG FOR OEM: NO:-: :-: :-: :-:NSN: 2590016311265 :-: NHA: 12574289</v>
      </c>
      <c r="G470" s="8" t="str">
        <f>IF([1]All!$B471="","",[1]All!$B471)</f>
        <v xml:space="preserve">CN3C </v>
      </c>
      <c r="H470" s="8"/>
      <c r="I470" s="8" t="str">
        <f>IF([1]All!$D471=0,"",[1]All!$D471)</f>
        <v>C</v>
      </c>
      <c r="J470" s="8" t="str">
        <f>IF([1]All!$E471=0,"",[1]All!$E471)</f>
        <v>19207</v>
      </c>
      <c r="K470" s="8" t="s">
        <v>358</v>
      </c>
      <c r="L470" s="11" t="str">
        <f>IF([1]All!$L471=0,"",[1]All!$L471)</f>
        <v>BRACKET,VEHICULAR C</v>
      </c>
      <c r="M470" s="7" t="str">
        <f>IF([1]All!$AJ471=0,"",[1]All!$AJ471)</f>
        <v xml:space="preserve">CLUW </v>
      </c>
      <c r="N470" s="7" t="str">
        <f>IF([1]All!$R471=0,"",[1]All!$R471)</f>
        <v>2590</v>
      </c>
      <c r="O470" s="7" t="str">
        <f>IF([1]All!$S471=0,"",[1]All!$S471)</f>
        <v>016311265</v>
      </c>
      <c r="P470" s="7" t="str">
        <f>IF([1]All!$V471=0,"",[1]All!$V471)</f>
        <v>0000037500</v>
      </c>
      <c r="Q470" s="3" t="str">
        <f t="shared" si="47"/>
        <v>$375.00</v>
      </c>
      <c r="R470" s="8" t="str">
        <f>IF([1]All!$F471=0,"",[1]All!$F471)</f>
        <v>12574295</v>
      </c>
    </row>
    <row r="471" spans="1:18">
      <c r="A471" s="7"/>
      <c r="B471" s="3">
        <f t="shared" si="42"/>
        <v>67</v>
      </c>
      <c r="C471" s="3" t="str">
        <f t="shared" si="43"/>
        <v>C</v>
      </c>
      <c r="D471" s="9" t="str">
        <f t="shared" si="44"/>
        <v>12574296</v>
      </c>
      <c r="E471" s="3" t="str">
        <f t="shared" si="45"/>
        <v>CN88  12574296</v>
      </c>
      <c r="F471" s="10" t="str">
        <f t="shared" si="46"/>
        <v>PCCN: CRGARM:-:PLISN: CN88 :-:PCC: TIT :-: CAGE: 19207:-:PART NUMBER: 12574296:-:NOMENCLATURE: BRACKET,MOUNTING:-:PRICE: $75.00:-:UNIQUE MODS: NO:-:PROPRIETARILY MFG FOR OEM: NO:-: :-: :-: :-:NSN: 2510016311277 :-: NHA: 12574289</v>
      </c>
      <c r="G471" s="8" t="str">
        <f>IF([1]All!$B472="","",[1]All!$B472)</f>
        <v xml:space="preserve">CN88 </v>
      </c>
      <c r="H471" s="8"/>
      <c r="I471" s="8" t="str">
        <f>IF([1]All!$D472=0,"",[1]All!$D472)</f>
        <v>C</v>
      </c>
      <c r="J471" s="8" t="str">
        <f>IF([1]All!$E472=0,"",[1]All!$E472)</f>
        <v>19207</v>
      </c>
      <c r="K471" s="8" t="s">
        <v>359</v>
      </c>
      <c r="L471" s="11" t="str">
        <f>IF([1]All!$L472=0,"",[1]All!$L472)</f>
        <v>BRACKET,MOUNTING</v>
      </c>
      <c r="M471" s="7" t="str">
        <f>IF([1]All!$AJ472=0,"",[1]All!$AJ472)</f>
        <v xml:space="preserve">CLUW </v>
      </c>
      <c r="N471" s="7" t="str">
        <f>IF([1]All!$R472=0,"",[1]All!$R472)</f>
        <v>2510</v>
      </c>
      <c r="O471" s="7" t="str">
        <f>IF([1]All!$S472=0,"",[1]All!$S472)</f>
        <v>016311277</v>
      </c>
      <c r="P471" s="7" t="str">
        <f>IF([1]All!$V472=0,"",[1]All!$V472)</f>
        <v>0000007500</v>
      </c>
      <c r="Q471" s="3" t="str">
        <f t="shared" si="47"/>
        <v>$75.00</v>
      </c>
      <c r="R471" s="8" t="str">
        <f>IF([1]All!$F472=0,"",[1]All!$F472)</f>
        <v>12574296</v>
      </c>
    </row>
    <row r="472" spans="1:18">
      <c r="A472" s="7"/>
      <c r="B472" s="3">
        <f t="shared" si="42"/>
        <v>67</v>
      </c>
      <c r="C472" s="3" t="str">
        <f t="shared" si="43"/>
        <v>C</v>
      </c>
      <c r="D472" s="9" t="str">
        <f t="shared" si="44"/>
        <v>90126A033</v>
      </c>
      <c r="E472" s="3" t="str">
        <f t="shared" si="45"/>
        <v>CPE4  90126A033</v>
      </c>
      <c r="F472" s="10" t="str">
        <f t="shared" si="46"/>
        <v>PCCN: CRGARM:-:PLISN: CPE4 :-:PCC: TIT :-: CAGE: 39428:-:PART NUMBER: 90126A033:-:NOMENCLATURE: WASHER,FLAT:-:PRICE: $0.06:-:UNIQUE MODS: NO:-:PROPRIETARILY MFG FOR OEM: NO:-: :-: :-: :-:NSN: 5310015088932 :-: NHA: 12574289</v>
      </c>
      <c r="G472" s="8" t="str">
        <f>IF([1]All!$B473="","",[1]All!$B473)</f>
        <v xml:space="preserve">CPE4 </v>
      </c>
      <c r="H472" s="8"/>
      <c r="I472" s="8" t="str">
        <f>IF([1]All!$D473=0,"",[1]All!$D473)</f>
        <v>C</v>
      </c>
      <c r="J472" s="8" t="str">
        <f>IF([1]All!$E473=0,"",[1]All!$E473)</f>
        <v>39428</v>
      </c>
      <c r="K472" s="8" t="s">
        <v>215</v>
      </c>
      <c r="L472" s="11" t="str">
        <f>IF([1]All!$L473=0,"",[1]All!$L473)</f>
        <v>WASHER,FLAT</v>
      </c>
      <c r="M472" s="7" t="str">
        <f>IF([1]All!$AJ473=0,"",[1]All!$AJ473)</f>
        <v xml:space="preserve">CLUW </v>
      </c>
      <c r="N472" s="7" t="str">
        <f>IF([1]All!$R473=0,"",[1]All!$R473)</f>
        <v>5310</v>
      </c>
      <c r="O472" s="7" t="str">
        <f>IF([1]All!$S473=0,"",[1]All!$S473)</f>
        <v>015088932</v>
      </c>
      <c r="P472" s="7" t="str">
        <f>IF([1]All!$V473=0,"",[1]All!$V473)</f>
        <v>0000000006</v>
      </c>
      <c r="Q472" s="3" t="str">
        <f t="shared" si="47"/>
        <v>$0.06</v>
      </c>
      <c r="R472" s="8" t="str">
        <f>IF([1]All!$F473=0,"",[1]All!$F473)</f>
        <v>90126A033</v>
      </c>
    </row>
    <row r="473" spans="1:18">
      <c r="A473" s="7"/>
      <c r="B473" s="3">
        <f t="shared" si="42"/>
        <v>67</v>
      </c>
      <c r="C473" s="3" t="str">
        <f t="shared" si="43"/>
        <v>C</v>
      </c>
      <c r="D473" s="9" t="str">
        <f t="shared" si="44"/>
        <v>91102A770</v>
      </c>
      <c r="E473" s="3" t="str">
        <f t="shared" si="45"/>
        <v>CPL0  91102A770</v>
      </c>
      <c r="F473" s="10" t="str">
        <f t="shared" si="46"/>
        <v>PCCN: CRGARM:-:PLISN: CPL0 :-:PCC: TIT :-: CAGE: 39428:-:PART NUMBER: 91102A770:-:NOMENCLATURE: WASHER,LOCK:-:PRICE: $0.12:-:UNIQUE MODS: NO:-:PROPRIETARILY MFG FOR OEM: NO:-: :-: :-: :-:NSN: 5310015335500 :-: NHA: 12574289</v>
      </c>
      <c r="G473" s="8" t="str">
        <f>IF([1]All!$B474="","",[1]All!$B474)</f>
        <v xml:space="preserve">CPL0 </v>
      </c>
      <c r="H473" s="8"/>
      <c r="I473" s="8" t="str">
        <f>IF([1]All!$D474=0,"",[1]All!$D474)</f>
        <v>C</v>
      </c>
      <c r="J473" s="8" t="str">
        <f>IF([1]All!$E474=0,"",[1]All!$E474)</f>
        <v>39428</v>
      </c>
      <c r="K473" s="8" t="s">
        <v>199</v>
      </c>
      <c r="L473" s="11" t="str">
        <f>IF([1]All!$L474=0,"",[1]All!$L474)</f>
        <v>WASHER,LOCK</v>
      </c>
      <c r="M473" s="7" t="str">
        <f>IF([1]All!$AJ474=0,"",[1]All!$AJ474)</f>
        <v xml:space="preserve">CLUW </v>
      </c>
      <c r="N473" s="7" t="str">
        <f>IF([1]All!$R474=0,"",[1]All!$R474)</f>
        <v>5310</v>
      </c>
      <c r="O473" s="7" t="str">
        <f>IF([1]All!$S474=0,"",[1]All!$S474)</f>
        <v>015335500</v>
      </c>
      <c r="P473" s="7" t="str">
        <f>IF([1]All!$V474=0,"",[1]All!$V474)</f>
        <v>0000000012</v>
      </c>
      <c r="Q473" s="3" t="str">
        <f t="shared" si="47"/>
        <v>$0.12</v>
      </c>
      <c r="R473" s="8" t="str">
        <f>IF([1]All!$F474=0,"",[1]All!$F474)</f>
        <v>91102A770</v>
      </c>
    </row>
    <row r="474" spans="1:18">
      <c r="A474" s="7"/>
      <c r="B474" s="3">
        <f t="shared" si="42"/>
        <v>67</v>
      </c>
      <c r="C474" s="3" t="str">
        <f t="shared" si="43"/>
        <v>C</v>
      </c>
      <c r="D474" s="9" t="str">
        <f t="shared" si="44"/>
        <v>91286A330</v>
      </c>
      <c r="E474" s="3" t="str">
        <f t="shared" si="45"/>
        <v>CPSW  91286A330</v>
      </c>
      <c r="F474" s="10" t="str">
        <f t="shared" si="46"/>
        <v>PCCN: CRGARM:-:PLISN: CPSW :-:PCC: TIT :-: CAGE: 2V507:-:PART NUMBER: 91286A330:-:NOMENCLATURE: SCREW,CAP,HEXAGON H:-:PRICE: $4.35:-:UNIQUE MODS: NO:-:PROPRIETARILY MFG FOR OEM: NO:-: :-: :-: :-:NSN: 5305015169268 :-: NHA: 12574289</v>
      </c>
      <c r="G474" s="8" t="str">
        <f>IF([1]All!$B475="","",[1]All!$B475)</f>
        <v xml:space="preserve">CPSW </v>
      </c>
      <c r="H474" s="8"/>
      <c r="I474" s="8" t="str">
        <f>IF([1]All!$D475=0,"",[1]All!$D475)</f>
        <v>C</v>
      </c>
      <c r="J474" s="8" t="str">
        <f>IF([1]All!$E475=0,"",[1]All!$E475)</f>
        <v>2V507</v>
      </c>
      <c r="K474" s="8" t="s">
        <v>360</v>
      </c>
      <c r="L474" s="11" t="str">
        <f>IF([1]All!$L475=0,"",[1]All!$L475)</f>
        <v>SCREW,CAP,HEXAGON H</v>
      </c>
      <c r="M474" s="7" t="str">
        <f>IF([1]All!$AJ475=0,"",[1]All!$AJ475)</f>
        <v xml:space="preserve">CLUW </v>
      </c>
      <c r="N474" s="7" t="str">
        <f>IF([1]All!$R475=0,"",[1]All!$R475)</f>
        <v>5305</v>
      </c>
      <c r="O474" s="7" t="str">
        <f>IF([1]All!$S475=0,"",[1]All!$S475)</f>
        <v>015169268</v>
      </c>
      <c r="P474" s="7" t="str">
        <f>IF([1]All!$V475=0,"",[1]All!$V475)</f>
        <v>0000000435</v>
      </c>
      <c r="Q474" s="3" t="str">
        <f t="shared" si="47"/>
        <v>$4.35</v>
      </c>
      <c r="R474" s="8" t="str">
        <f>IF([1]All!$F475=0,"",[1]All!$F475)</f>
        <v>91286A330</v>
      </c>
    </row>
    <row r="475" spans="1:18">
      <c r="A475" s="7"/>
      <c r="B475" s="3">
        <f t="shared" si="42"/>
        <v>67</v>
      </c>
      <c r="C475" s="3" t="str">
        <f t="shared" si="43"/>
        <v>C</v>
      </c>
      <c r="D475" s="9" t="str">
        <f t="shared" si="44"/>
        <v>10502900</v>
      </c>
      <c r="E475" s="3" t="str">
        <f t="shared" si="45"/>
        <v>CPYS  10502900</v>
      </c>
      <c r="F475" s="10" t="str">
        <f t="shared" si="46"/>
        <v>PCCN: CRGARM:-:PLISN: CPYS :-:PCC: TIT :-: CAGE: 56161:-:PART NUMBER: 10502900:-:NOMENCLATURE: WASHER,FLAT:-:PRICE: $0.20:-:UNIQUE MODS: NO:-:PROPRIETARILY MFG FOR OEM: NO:-: :-: :-: :-:NSN: 5310011671952 :-: NHA: 12574289</v>
      </c>
      <c r="G475" s="8" t="str">
        <f>IF([1]All!$B476="","",[1]All!$B476)</f>
        <v xml:space="preserve">CPYS </v>
      </c>
      <c r="H475" s="8"/>
      <c r="I475" s="8" t="str">
        <f>IF([1]All!$D476=0,"",[1]All!$D476)</f>
        <v>C</v>
      </c>
      <c r="J475" s="8" t="str">
        <f>IF([1]All!$E476=0,"",[1]All!$E476)</f>
        <v>56161</v>
      </c>
      <c r="K475" s="8" t="s">
        <v>404</v>
      </c>
      <c r="L475" s="11" t="str">
        <f>IF([1]All!$L476=0,"",[1]All!$L476)</f>
        <v>WASHER,FLAT</v>
      </c>
      <c r="M475" s="7" t="str">
        <f>IF([1]All!$AJ476=0,"",[1]All!$AJ476)</f>
        <v xml:space="preserve">CLUW </v>
      </c>
      <c r="N475" s="7" t="str">
        <f>IF([1]All!$R476=0,"",[1]All!$R476)</f>
        <v>5310</v>
      </c>
      <c r="O475" s="7" t="str">
        <f>IF([1]All!$S476=0,"",[1]All!$S476)</f>
        <v>011671952</v>
      </c>
      <c r="P475" s="7" t="str">
        <f>IF([1]All!$V476=0,"",[1]All!$V476)</f>
        <v>0000000020</v>
      </c>
      <c r="Q475" s="3" t="str">
        <f t="shared" si="47"/>
        <v>$0.20</v>
      </c>
      <c r="R475" s="8" t="str">
        <f>IF([1]All!$F476=0,"",[1]All!$F476)</f>
        <v>10502900</v>
      </c>
    </row>
    <row r="476" spans="1:18">
      <c r="A476" s="7"/>
      <c r="B476" s="3">
        <f t="shared" si="42"/>
        <v>67</v>
      </c>
      <c r="C476" s="3" t="str">
        <f t="shared" si="43"/>
        <v>C</v>
      </c>
      <c r="D476" s="9" t="str">
        <f t="shared" si="44"/>
        <v>11342256</v>
      </c>
      <c r="E476" s="3" t="str">
        <f t="shared" si="45"/>
        <v>CP4N  11342256</v>
      </c>
      <c r="F476" s="10" t="str">
        <f t="shared" si="46"/>
        <v>PCCN: CRGARM:-:PLISN: CP4N :-:PCC: TIT :-: CAGE: 0Y3H3:-:PART NUMBER: 11342256:-:NOMENCLATURE: SCREW,CAP,HEXAGON H:-:PRICE: $20.27:-:UNIQUE MODS: NO:-:PROPRIETARILY MFG FOR OEM: NO:-: :-: :-: :-:NSN: 5305016270804 :-: NHA: 12574289</v>
      </c>
      <c r="G476" s="8" t="str">
        <f>IF([1]All!$B477="","",[1]All!$B477)</f>
        <v xml:space="preserve">CP4N </v>
      </c>
      <c r="H476" s="8"/>
      <c r="I476" s="8" t="str">
        <f>IF([1]All!$D477=0,"",[1]All!$D477)</f>
        <v>C</v>
      </c>
      <c r="J476" s="8" t="str">
        <f>IF([1]All!$E477=0,"",[1]All!$E477)</f>
        <v>0Y3H3</v>
      </c>
      <c r="K476" s="8" t="s">
        <v>361</v>
      </c>
      <c r="L476" s="11" t="str">
        <f>IF([1]All!$L477=0,"",[1]All!$L477)</f>
        <v>SCREW,CAP,HEXAGON H</v>
      </c>
      <c r="M476" s="7" t="str">
        <f>IF([1]All!$AJ477=0,"",[1]All!$AJ477)</f>
        <v xml:space="preserve">CLUW </v>
      </c>
      <c r="N476" s="7" t="str">
        <f>IF([1]All!$R477=0,"",[1]All!$R477)</f>
        <v>5305</v>
      </c>
      <c r="O476" s="7" t="str">
        <f>IF([1]All!$S477=0,"",[1]All!$S477)</f>
        <v>016270804</v>
      </c>
      <c r="P476" s="7" t="str">
        <f>IF([1]All!$V477=0,"",[1]All!$V477)</f>
        <v>0000002027</v>
      </c>
      <c r="Q476" s="3" t="str">
        <f t="shared" si="47"/>
        <v>$20.27</v>
      </c>
      <c r="R476" s="8" t="str">
        <f>IF([1]All!$F477=0,"",[1]All!$F477)</f>
        <v>11342256</v>
      </c>
    </row>
    <row r="477" spans="1:18">
      <c r="A477" s="7"/>
      <c r="B477" s="3">
        <f t="shared" si="42"/>
        <v>67</v>
      </c>
      <c r="C477" s="3" t="str">
        <f t="shared" si="43"/>
        <v>C</v>
      </c>
      <c r="D477" s="9" t="str">
        <f t="shared" si="44"/>
        <v>8307104</v>
      </c>
      <c r="E477" s="3" t="str">
        <f t="shared" si="45"/>
        <v>CQAJ  8307104</v>
      </c>
      <c r="F477" s="10" t="str">
        <f t="shared" si="46"/>
        <v>PCCN: CRGARM:-:PLISN: CQAJ :-:PCC: TIT :-: CAGE: 1YHH8:-:PART NUMBER: 8307104:-:NOMENCLATURE: WASHER,FLAT,3.4:-:PRICE: $0.50:-:UNIQUE MODS: NO:-:PROPRIETARILY MFG FOR OEM: NO:-: :-: :-: :-:NSN: 5310015038762 :-: NHA: 12574289</v>
      </c>
      <c r="G477" s="8" t="str">
        <f>IF([1]All!$B478="","",[1]All!$B478)</f>
        <v xml:space="preserve">CQAJ </v>
      </c>
      <c r="H477" s="8"/>
      <c r="I477" s="8" t="str">
        <f>IF([1]All!$D478=0,"",[1]All!$D478)</f>
        <v>C</v>
      </c>
      <c r="J477" s="8" t="str">
        <f>IF([1]All!$E478=0,"",[1]All!$E478)</f>
        <v>1YHH8</v>
      </c>
      <c r="K477" s="8" t="s">
        <v>362</v>
      </c>
      <c r="L477" s="11" t="str">
        <f>IF([1]All!$L478=0,"",[1]All!$L478)</f>
        <v>WASHER,FLAT,3.4</v>
      </c>
      <c r="M477" s="7" t="str">
        <f>IF([1]All!$AJ478=0,"",[1]All!$AJ478)</f>
        <v xml:space="preserve">CLUW </v>
      </c>
      <c r="N477" s="7" t="str">
        <f>IF([1]All!$R478=0,"",[1]All!$R478)</f>
        <v>5310</v>
      </c>
      <c r="O477" s="7" t="str">
        <f>IF([1]All!$S478=0,"",[1]All!$S478)</f>
        <v>015038762</v>
      </c>
      <c r="P477" s="7" t="str">
        <f>IF([1]All!$V478=0,"",[1]All!$V478)</f>
        <v>0000000050</v>
      </c>
      <c r="Q477" s="3" t="str">
        <f t="shared" si="47"/>
        <v>$0.50</v>
      </c>
      <c r="R477" s="8" t="str">
        <f>IF([1]All!$F478=0,"",[1]All!$F478)</f>
        <v>8307104</v>
      </c>
    </row>
    <row r="478" spans="1:18">
      <c r="A478" s="7"/>
      <c r="B478" s="3">
        <f t="shared" si="42"/>
        <v>67</v>
      </c>
      <c r="C478" s="3" t="str">
        <f t="shared" si="43"/>
        <v>C</v>
      </c>
      <c r="D478" s="9" t="str">
        <f t="shared" si="44"/>
        <v>91102A036</v>
      </c>
      <c r="E478" s="3" t="str">
        <f t="shared" si="45"/>
        <v>CQGE  91102A036</v>
      </c>
      <c r="F478" s="10" t="str">
        <f t="shared" si="46"/>
        <v>PCCN: CRGARM:-:PLISN: CQGE :-:PCC: TIT :-: CAGE: 39428:-:PART NUMBER: 91102A036:-:NOMENCLATURE: WASHER,LOCK:-:PRICE: $0.50:-:UNIQUE MODS: NO:-:PROPRIETARILY MFG FOR OEM: NO:-: :-: :-: :-:NSN: 5310015333410 :-: NHA: 12574289</v>
      </c>
      <c r="G478" s="8" t="str">
        <f>IF([1]All!$B479="","",[1]All!$B479)</f>
        <v xml:space="preserve">CQGE </v>
      </c>
      <c r="H478" s="8"/>
      <c r="I478" s="8" t="str">
        <f>IF([1]All!$D479=0,"",[1]All!$D479)</f>
        <v>C</v>
      </c>
      <c r="J478" s="8" t="str">
        <f>IF([1]All!$E479=0,"",[1]All!$E479)</f>
        <v>39428</v>
      </c>
      <c r="K478" s="8" t="s">
        <v>363</v>
      </c>
      <c r="L478" s="11" t="str">
        <f>IF([1]All!$L479=0,"",[1]All!$L479)</f>
        <v>WASHER,LOCK</v>
      </c>
      <c r="M478" s="7" t="str">
        <f>IF([1]All!$AJ479=0,"",[1]All!$AJ479)</f>
        <v xml:space="preserve">CLUW </v>
      </c>
      <c r="N478" s="7" t="str">
        <f>IF([1]All!$R479=0,"",[1]All!$R479)</f>
        <v>5310</v>
      </c>
      <c r="O478" s="7" t="str">
        <f>IF([1]All!$S479=0,"",[1]All!$S479)</f>
        <v>015333410</v>
      </c>
      <c r="P478" s="7" t="str">
        <f>IF([1]All!$V479=0,"",[1]All!$V479)</f>
        <v>0000000050</v>
      </c>
      <c r="Q478" s="3" t="str">
        <f t="shared" si="47"/>
        <v>$0.50</v>
      </c>
      <c r="R478" s="8" t="str">
        <f>IF([1]All!$F479=0,"",[1]All!$F479)</f>
        <v>91102A036</v>
      </c>
    </row>
    <row r="479" spans="1:18">
      <c r="A479" s="7"/>
      <c r="B479" s="3">
        <f t="shared" si="42"/>
        <v>67</v>
      </c>
      <c r="C479" s="3" t="str">
        <f t="shared" si="43"/>
        <v>C</v>
      </c>
      <c r="D479" s="9" t="str">
        <f t="shared" si="44"/>
        <v>3912753C1</v>
      </c>
      <c r="E479" s="3" t="str">
        <f t="shared" si="45"/>
        <v>CQNA  3912753C1</v>
      </c>
      <c r="F479" s="10" t="str">
        <f t="shared" si="46"/>
        <v>PCCN: CRGARM:-:PLISN: CQNA :-:PCC: TIT :-: CAGE: 338X5:-:PART NUMBER: 3912753C1:-:NOMENCLATURE: NUT,PLAIN,HEXAGON:-:PRICE: $1.75:-:UNIQUE MODS: NO:-:PROPRIETARILY MFG FOR OEM: NO:-: :-: :-: :-:NSN: 5310016059874 :-: NHA: 12574289</v>
      </c>
      <c r="G479" s="8" t="str">
        <f>IF([1]All!$B480="","",[1]All!$B480)</f>
        <v xml:space="preserve">CQNA </v>
      </c>
      <c r="H479" s="8"/>
      <c r="I479" s="8" t="str">
        <f>IF([1]All!$D480=0,"",[1]All!$D480)</f>
        <v>C</v>
      </c>
      <c r="J479" s="8" t="str">
        <f>IF([1]All!$E480=0,"",[1]All!$E480)</f>
        <v>338X5</v>
      </c>
      <c r="K479" s="8" t="s">
        <v>364</v>
      </c>
      <c r="L479" s="11" t="str">
        <f>IF([1]All!$L480=0,"",[1]All!$L480)</f>
        <v>NUT,PLAIN,HEXAGON</v>
      </c>
      <c r="M479" s="7" t="str">
        <f>IF([1]All!$AJ480=0,"",[1]All!$AJ480)</f>
        <v xml:space="preserve">CLUW </v>
      </c>
      <c r="N479" s="7" t="str">
        <f>IF([1]All!$R480=0,"",[1]All!$R480)</f>
        <v>5310</v>
      </c>
      <c r="O479" s="7" t="str">
        <f>IF([1]All!$S480=0,"",[1]All!$S480)</f>
        <v>016059874</v>
      </c>
      <c r="P479" s="7" t="str">
        <f>IF([1]All!$V480=0,"",[1]All!$V480)</f>
        <v>0000000175</v>
      </c>
      <c r="Q479" s="3" t="str">
        <f t="shared" si="47"/>
        <v>$1.75</v>
      </c>
      <c r="R479" s="8" t="str">
        <f>IF([1]All!$F480=0,"",[1]All!$F480)</f>
        <v>3912753C1</v>
      </c>
    </row>
    <row r="480" spans="1:18">
      <c r="A480" s="7"/>
      <c r="B480" s="3">
        <f t="shared" si="42"/>
        <v>67</v>
      </c>
      <c r="C480" s="3" t="str">
        <f t="shared" si="43"/>
        <v>C</v>
      </c>
      <c r="D480" s="9" t="str">
        <f t="shared" si="44"/>
        <v>91286A477</v>
      </c>
      <c r="E480" s="3" t="str">
        <f t="shared" si="45"/>
        <v>CQT6  91286A477</v>
      </c>
      <c r="F480" s="10" t="str">
        <f t="shared" si="46"/>
        <v>PCCN: CRGARM:-:PLISN: CQT6 :-:PCC: TIT :-: CAGE: 39428:-:PART NUMBER: 91286A477:-:NOMENCLATURE: SCREW,CAP,HEXAGON H:-:PRICE: $7.70:-:UNIQUE MODS: NO:-:PROPRIETARILY MFG FOR OEM: NO:-: :-: :-: :-: :-: NHA: 12574289</v>
      </c>
      <c r="G480" s="8" t="str">
        <f>IF([1]All!$B481="","",[1]All!$B481)</f>
        <v xml:space="preserve">CQT6 </v>
      </c>
      <c r="H480" s="8"/>
      <c r="I480" s="8" t="str">
        <f>IF([1]All!$D481=0,"",[1]All!$D481)</f>
        <v>C</v>
      </c>
      <c r="J480" s="8" t="str">
        <f>IF([1]All!$E481=0,"",[1]All!$E481)</f>
        <v>39428</v>
      </c>
      <c r="K480" s="8" t="s">
        <v>365</v>
      </c>
      <c r="L480" s="11" t="str">
        <f>IF([1]All!$L481=0,"",[1]All!$L481)</f>
        <v>SCREW,CAP,HEXAGON H</v>
      </c>
      <c r="M480" s="7" t="str">
        <f>IF([1]All!$AJ481=0,"",[1]All!$AJ481)</f>
        <v xml:space="preserve">CLUW </v>
      </c>
      <c r="N480" s="7" t="str">
        <f>IF([1]All!$R481=0,"",[1]All!$R481)</f>
        <v/>
      </c>
      <c r="O480" s="7" t="str">
        <f>IF([1]All!$S481=0,"",[1]All!$S481)</f>
        <v/>
      </c>
      <c r="P480" s="7" t="str">
        <f>IF([1]All!$V481=0,"",[1]All!$V481)</f>
        <v>0000000770</v>
      </c>
      <c r="Q480" s="3" t="str">
        <f t="shared" si="47"/>
        <v>$7.70</v>
      </c>
      <c r="R480" s="8" t="str">
        <f>IF([1]All!$F481=0,"",[1]All!$F481)</f>
        <v>91286A477</v>
      </c>
    </row>
    <row r="481" spans="1:18">
      <c r="A481" s="7"/>
      <c r="B481" s="3">
        <f t="shared" si="42"/>
        <v>67</v>
      </c>
      <c r="C481" s="3" t="str">
        <f t="shared" si="43"/>
        <v>C</v>
      </c>
      <c r="D481" s="9" t="str">
        <f t="shared" si="44"/>
        <v>12574297</v>
      </c>
      <c r="E481" s="3" t="str">
        <f t="shared" si="45"/>
        <v>CQZ2  12574297</v>
      </c>
      <c r="F481" s="10" t="str">
        <f t="shared" si="46"/>
        <v>PCCN: CRGARM:-:PLISN: CQZ2 :-:PCC: TIT :-: CAGE: 19207:-:PART NUMBER: 12574297:-:NOMENCLATURE: SPACER,PLATE:-:PRICE: $31.16:-:UNIQUE MODS: NO:-:PROPRIETARILY MFG FOR OEM: NO:-: :-: :-: :-:NSN: 5365016298399 :-: NHA: 12574289</v>
      </c>
      <c r="G481" s="8" t="str">
        <f>IF([1]All!$B482="","",[1]All!$B482)</f>
        <v xml:space="preserve">CQZ2 </v>
      </c>
      <c r="H481" s="8"/>
      <c r="I481" s="8" t="str">
        <f>IF([1]All!$D482=0,"",[1]All!$D482)</f>
        <v>C</v>
      </c>
      <c r="J481" s="8" t="str">
        <f>IF([1]All!$E482=0,"",[1]All!$E482)</f>
        <v>19207</v>
      </c>
      <c r="K481" s="8" t="s">
        <v>366</v>
      </c>
      <c r="L481" s="11" t="str">
        <f>IF([1]All!$L482=0,"",[1]All!$L482)</f>
        <v>SPACER,PLATE</v>
      </c>
      <c r="M481" s="7" t="str">
        <f>IF([1]All!$AJ482=0,"",[1]All!$AJ482)</f>
        <v xml:space="preserve">CLUW </v>
      </c>
      <c r="N481" s="7" t="str">
        <f>IF([1]All!$R482=0,"",[1]All!$R482)</f>
        <v>5365</v>
      </c>
      <c r="O481" s="7" t="str">
        <f>IF([1]All!$S482=0,"",[1]All!$S482)</f>
        <v>016298399</v>
      </c>
      <c r="P481" s="7" t="str">
        <f>IF([1]All!$V482=0,"",[1]All!$V482)</f>
        <v>0000003116</v>
      </c>
      <c r="Q481" s="3" t="str">
        <f t="shared" si="47"/>
        <v>$31.16</v>
      </c>
      <c r="R481" s="8" t="str">
        <f>IF([1]All!$F482=0,"",[1]All!$F482)</f>
        <v>12574297</v>
      </c>
    </row>
    <row r="482" spans="1:18">
      <c r="A482" s="7"/>
      <c r="B482" s="3">
        <f t="shared" si="42"/>
        <v>67</v>
      </c>
      <c r="C482" s="3" t="str">
        <f t="shared" si="43"/>
        <v>C</v>
      </c>
      <c r="D482" s="9" t="str">
        <f t="shared" si="44"/>
        <v>90185A589</v>
      </c>
      <c r="E482" s="3" t="str">
        <f t="shared" si="45"/>
        <v>CQ5Y  90185A589</v>
      </c>
      <c r="F482" s="10" t="str">
        <f t="shared" si="46"/>
        <v>PCCN: CRGARM:-:PLISN: CQ5Y :-:PCC: TIT :-: CAGE: 39428:-:PART NUMBER: 90185A589:-:NOMENCLATURE: BOLT,SQUARE NECK:-:PRICE: $0.27:-:UNIQUE MODS: NO:-:PROPRIETARILY MFG FOR OEM: NO:-: :-: :-: :-:NSN: 5306015973318 :-: NHA: 12574289</v>
      </c>
      <c r="G482" s="8" t="str">
        <f>IF([1]All!$B483="","",[1]All!$B483)</f>
        <v xml:space="preserve">CQ5Y </v>
      </c>
      <c r="H482" s="8"/>
      <c r="I482" s="8" t="str">
        <f>IF([1]All!$D483=0,"",[1]All!$D483)</f>
        <v>C</v>
      </c>
      <c r="J482" s="8" t="str">
        <f>IF([1]All!$E483=0,"",[1]All!$E483)</f>
        <v>39428</v>
      </c>
      <c r="K482" s="8" t="s">
        <v>367</v>
      </c>
      <c r="L482" s="11" t="str">
        <f>IF([1]All!$L483=0,"",[1]All!$L483)</f>
        <v>BOLT,SQUARE NECK</v>
      </c>
      <c r="M482" s="7" t="str">
        <f>IF([1]All!$AJ483=0,"",[1]All!$AJ483)</f>
        <v xml:space="preserve">CLUW </v>
      </c>
      <c r="N482" s="7" t="str">
        <f>IF([1]All!$R483=0,"",[1]All!$R483)</f>
        <v>5306</v>
      </c>
      <c r="O482" s="7" t="str">
        <f>IF([1]All!$S483=0,"",[1]All!$S483)</f>
        <v>015973318</v>
      </c>
      <c r="P482" s="7" t="str">
        <f>IF([1]All!$V483=0,"",[1]All!$V483)</f>
        <v>0000000027</v>
      </c>
      <c r="Q482" s="3" t="str">
        <f t="shared" si="47"/>
        <v>$0.27</v>
      </c>
      <c r="R482" s="8" t="str">
        <f>IF([1]All!$F483=0,"",[1]All!$F483)</f>
        <v>90185A589</v>
      </c>
    </row>
    <row r="483" spans="1:18">
      <c r="A483" s="7"/>
      <c r="B483" s="3">
        <f t="shared" si="42"/>
        <v>67</v>
      </c>
      <c r="C483" s="3" t="str">
        <f t="shared" si="43"/>
        <v>C</v>
      </c>
      <c r="D483" s="9" t="str">
        <f t="shared" si="44"/>
        <v>MIL-001-337</v>
      </c>
      <c r="E483" s="3" t="str">
        <f t="shared" si="45"/>
        <v>CRPL  MIL-001-337</v>
      </c>
      <c r="F483" s="10" t="str">
        <f t="shared" si="46"/>
        <v>PCCN: CRGARM:-:PLISN: CRPL :-:PCC: TIT :-: CAGE: 0UJB5:-:PART NUMBER: MIL-001-337:-:NOMENCLATURE: NUT,PLAIN,HEXAGON:-:PRICE: $0.16:-:UNIQUE MODS: NO:-:PROPRIETARILY MFG FOR OEM: NO:-: :-: :-: :-:NSN: 5310016005905 :-: NHA: 12574289</v>
      </c>
      <c r="G483" s="8" t="str">
        <f>IF([1]All!$B484="","",[1]All!$B484)</f>
        <v xml:space="preserve">CRPL </v>
      </c>
      <c r="H483" s="8"/>
      <c r="I483" s="8" t="str">
        <f>IF([1]All!$D484=0,"",[1]All!$D484)</f>
        <v>C</v>
      </c>
      <c r="J483" s="8" t="str">
        <f>IF([1]All!$E484=0,"",[1]All!$E484)</f>
        <v>0UJB5</v>
      </c>
      <c r="K483" s="8" t="s">
        <v>280</v>
      </c>
      <c r="L483" s="11" t="str">
        <f>IF([1]All!$L484=0,"",[1]All!$L484)</f>
        <v>NUT,PLAIN,HEXAGON</v>
      </c>
      <c r="M483" s="7" t="str">
        <f>IF([1]All!$AJ484=0,"",[1]All!$AJ484)</f>
        <v xml:space="preserve">CLUW </v>
      </c>
      <c r="N483" s="7" t="str">
        <f>IF([1]All!$R484=0,"",[1]All!$R484)</f>
        <v>5310</v>
      </c>
      <c r="O483" s="7" t="str">
        <f>IF([1]All!$S484=0,"",[1]All!$S484)</f>
        <v>016005905</v>
      </c>
      <c r="P483" s="7" t="str">
        <f>IF([1]All!$V484=0,"",[1]All!$V484)</f>
        <v>0000000016</v>
      </c>
      <c r="Q483" s="3" t="str">
        <f t="shared" si="47"/>
        <v>$0.16</v>
      </c>
      <c r="R483" s="8" t="str">
        <f>IF([1]All!$F484=0,"",[1]All!$F484)</f>
        <v>MIL-001-337</v>
      </c>
    </row>
    <row r="484" spans="1:18">
      <c r="A484" s="7"/>
      <c r="B484" s="3">
        <f t="shared" si="42"/>
        <v>67</v>
      </c>
      <c r="C484" s="3" t="str">
        <f t="shared" si="43"/>
        <v>C</v>
      </c>
      <c r="D484" s="9" t="str">
        <f t="shared" si="44"/>
        <v>12574298</v>
      </c>
      <c r="E484" s="3" t="str">
        <f t="shared" si="45"/>
        <v>CRVG  12574298</v>
      </c>
      <c r="F484" s="10" t="str">
        <f t="shared" si="46"/>
        <v>PCCN: CRGARM:-:PLISN: CRVG :-:PCC: TIT :-: CAGE: 19207:-:PART NUMBER: 12574298:-:NOMENCLATURE: COVER,ELECTRICAL SW:-:PRICE: $45.00:-:UNIQUE MODS: NO:-:PROPRIETARILY MFG FOR OEM: NO:-: :-: :-: :-:NSN: 5930016312254 :-: NHA: 12574289</v>
      </c>
      <c r="G484" s="8" t="str">
        <f>IF([1]All!$B485="","",[1]All!$B485)</f>
        <v xml:space="preserve">CRVG </v>
      </c>
      <c r="H484" s="8"/>
      <c r="I484" s="8" t="str">
        <f>IF([1]All!$D485=0,"",[1]All!$D485)</f>
        <v>C</v>
      </c>
      <c r="J484" s="8" t="str">
        <f>IF([1]All!$E485=0,"",[1]All!$E485)</f>
        <v>19207</v>
      </c>
      <c r="K484" s="8" t="s">
        <v>368</v>
      </c>
      <c r="L484" s="11" t="str">
        <f>IF([1]All!$L485=0,"",[1]All!$L485)</f>
        <v>COVER,ELECTRICAL SW</v>
      </c>
      <c r="M484" s="7" t="str">
        <f>IF([1]All!$AJ485=0,"",[1]All!$AJ485)</f>
        <v xml:space="preserve">CLUW </v>
      </c>
      <c r="N484" s="7" t="str">
        <f>IF([1]All!$R485=0,"",[1]All!$R485)</f>
        <v>5930</v>
      </c>
      <c r="O484" s="7" t="str">
        <f>IF([1]All!$S485=0,"",[1]All!$S485)</f>
        <v>016312254</v>
      </c>
      <c r="P484" s="7" t="str">
        <f>IF([1]All!$V485=0,"",[1]All!$V485)</f>
        <v>0000004500</v>
      </c>
      <c r="Q484" s="3" t="str">
        <f t="shared" si="47"/>
        <v>$45.00</v>
      </c>
      <c r="R484" s="8" t="str">
        <f>IF([1]All!$F485=0,"",[1]All!$F485)</f>
        <v>12574298</v>
      </c>
    </row>
    <row r="485" spans="1:18">
      <c r="A485" s="7"/>
      <c r="B485" s="3">
        <f t="shared" si="42"/>
        <v>67</v>
      </c>
      <c r="C485" s="3" t="str">
        <f t="shared" si="43"/>
        <v>C</v>
      </c>
      <c r="D485" s="9" t="str">
        <f t="shared" si="44"/>
        <v>12574299</v>
      </c>
      <c r="E485" s="3" t="str">
        <f t="shared" si="45"/>
        <v>CR1C  12574299</v>
      </c>
      <c r="F485" s="10" t="str">
        <f t="shared" si="46"/>
        <v>PCCN: CRGARM:-:PLISN: CR1C :-:PCC: TIT :-: CAGE: 19207:-:PART NUMBER: 12574299:-:NOMENCLATURE: COVER,INTERCONNECTI:-:PRICE: $75.00:-:UNIQUE MODS: NO:-:PROPRIETARILY MFG FOR OEM: NO:-: :-: :-: :-:NSN: 5975016312263 :-: NHA: 12574289</v>
      </c>
      <c r="G485" s="8" t="str">
        <f>IF([1]All!$B486="","",[1]All!$B486)</f>
        <v xml:space="preserve">CR1C </v>
      </c>
      <c r="H485" s="8"/>
      <c r="I485" s="8" t="str">
        <f>IF([1]All!$D486=0,"",[1]All!$D486)</f>
        <v>C</v>
      </c>
      <c r="J485" s="8" t="str">
        <f>IF([1]All!$E486=0,"",[1]All!$E486)</f>
        <v>19207</v>
      </c>
      <c r="K485" s="8" t="s">
        <v>369</v>
      </c>
      <c r="L485" s="11" t="str">
        <f>IF([1]All!$L486=0,"",[1]All!$L486)</f>
        <v>COVER,INTERCONNECTI</v>
      </c>
      <c r="M485" s="7" t="str">
        <f>IF([1]All!$AJ486=0,"",[1]All!$AJ486)</f>
        <v xml:space="preserve">CLUW </v>
      </c>
      <c r="N485" s="7" t="str">
        <f>IF([1]All!$R486=0,"",[1]All!$R486)</f>
        <v>5975</v>
      </c>
      <c r="O485" s="7" t="str">
        <f>IF([1]All!$S486=0,"",[1]All!$S486)</f>
        <v>016312263</v>
      </c>
      <c r="P485" s="7" t="str">
        <f>IF([1]All!$V486=0,"",[1]All!$V486)</f>
        <v>0000007500</v>
      </c>
      <c r="Q485" s="3" t="str">
        <f t="shared" si="47"/>
        <v>$75.00</v>
      </c>
      <c r="R485" s="8" t="str">
        <f>IF([1]All!$F486=0,"",[1]All!$F486)</f>
        <v>12574299</v>
      </c>
    </row>
    <row r="486" spans="1:18">
      <c r="A486" s="7"/>
      <c r="B486" s="3">
        <f t="shared" si="42"/>
        <v>67</v>
      </c>
      <c r="C486" s="3" t="str">
        <f t="shared" si="43"/>
        <v>C</v>
      </c>
      <c r="D486" s="9" t="str">
        <f t="shared" si="44"/>
        <v>9217K55</v>
      </c>
      <c r="E486" s="3" t="str">
        <f t="shared" si="45"/>
        <v>CR68  9217K55</v>
      </c>
      <c r="F486" s="10" t="str">
        <f t="shared" si="46"/>
        <v>PCCN: CRGARM:-:PLISN: CR68 :-:PCC: TIT :-: CAGE: 39428:-:PART NUMBER: 9217K55:-:NOMENCLATURE: MOUNT,RESILIENT,GEN:-:PRICE: $5.17:-:UNIQUE MODS: NO:-:PROPRIETARILY MFG FOR OEM: NO:-: :-: :-: :-: :-: NHA: 12574289</v>
      </c>
      <c r="G486" s="8" t="str">
        <f>IF([1]All!$B487="","",[1]All!$B487)</f>
        <v xml:space="preserve">CR68 </v>
      </c>
      <c r="H486" s="8"/>
      <c r="I486" s="8" t="str">
        <f>IF([1]All!$D487=0,"",[1]All!$D487)</f>
        <v>C</v>
      </c>
      <c r="J486" s="8" t="str">
        <f>IF([1]All!$E487=0,"",[1]All!$E487)</f>
        <v>39428</v>
      </c>
      <c r="K486" s="8" t="s">
        <v>370</v>
      </c>
      <c r="L486" s="11" t="str">
        <f>IF([1]All!$L487=0,"",[1]All!$L487)</f>
        <v>MOUNT,RESILIENT,GEN</v>
      </c>
      <c r="M486" s="7" t="str">
        <f>IF([1]All!$AJ487=0,"",[1]All!$AJ487)</f>
        <v xml:space="preserve">CLUW </v>
      </c>
      <c r="N486" s="7" t="str">
        <f>IF([1]All!$R487=0,"",[1]All!$R487)</f>
        <v/>
      </c>
      <c r="O486" s="7" t="str">
        <f>IF([1]All!$S487=0,"",[1]All!$S487)</f>
        <v/>
      </c>
      <c r="P486" s="7" t="str">
        <f>IF([1]All!$V487=0,"",[1]All!$V487)</f>
        <v>0000000517</v>
      </c>
      <c r="Q486" s="3" t="str">
        <f t="shared" si="47"/>
        <v>$5.17</v>
      </c>
      <c r="R486" s="8" t="str">
        <f>IF([1]All!$F487=0,"",[1]All!$F487)</f>
        <v>9217K55</v>
      </c>
    </row>
    <row r="487" spans="1:18">
      <c r="A487" s="7"/>
      <c r="B487" s="3">
        <f t="shared" si="42"/>
        <v>67</v>
      </c>
      <c r="C487" s="3" t="str">
        <f t="shared" si="43"/>
        <v>C</v>
      </c>
      <c r="D487" s="9" t="str">
        <f t="shared" si="44"/>
        <v>90096A550</v>
      </c>
      <c r="E487" s="3" t="str">
        <f t="shared" si="45"/>
        <v>CSC4  90096A550</v>
      </c>
      <c r="F487" s="10" t="str">
        <f t="shared" si="46"/>
        <v>PCCN: CRGARM:-:PLISN: CSC4 :-:PCC: TIT :-: CAGE: 39428:-:PART NUMBER: 90096A550:-:NOMENCLATURE: SCREW,TAPPING:-:PRICE: $10.37:-:UNIQUE MODS: NO:-:PROPRIETARILY MFG FOR OEM: NO:-: :-: :-: :-:NSN: 5305016297959 :-: NHA: 12574289</v>
      </c>
      <c r="G487" s="8" t="str">
        <f>IF([1]All!$B488="","",[1]All!$B488)</f>
        <v xml:space="preserve">CSC4 </v>
      </c>
      <c r="H487" s="8"/>
      <c r="I487" s="8" t="str">
        <f>IF([1]All!$D488=0,"",[1]All!$D488)</f>
        <v>C</v>
      </c>
      <c r="J487" s="8" t="str">
        <f>IF([1]All!$E488=0,"",[1]All!$E488)</f>
        <v>39428</v>
      </c>
      <c r="K487" s="8" t="s">
        <v>371</v>
      </c>
      <c r="L487" s="11" t="str">
        <f>IF([1]All!$L488=0,"",[1]All!$L488)</f>
        <v>SCREW,TAPPING</v>
      </c>
      <c r="M487" s="7" t="str">
        <f>IF([1]All!$AJ488=0,"",[1]All!$AJ488)</f>
        <v xml:space="preserve">CLUW </v>
      </c>
      <c r="N487" s="7" t="str">
        <f>IF([1]All!$R488=0,"",[1]All!$R488)</f>
        <v>5305</v>
      </c>
      <c r="O487" s="7" t="str">
        <f>IF([1]All!$S488=0,"",[1]All!$S488)</f>
        <v>016297959</v>
      </c>
      <c r="P487" s="7" t="str">
        <f>IF([1]All!$V488=0,"",[1]All!$V488)</f>
        <v>0000001037</v>
      </c>
      <c r="Q487" s="3" t="str">
        <f t="shared" si="47"/>
        <v>$10.37</v>
      </c>
      <c r="R487" s="8" t="str">
        <f>IF([1]All!$F488=0,"",[1]All!$F488)</f>
        <v>90096A550</v>
      </c>
    </row>
    <row r="488" spans="1:18">
      <c r="A488" s="7"/>
      <c r="B488" s="3">
        <f t="shared" si="42"/>
        <v>67</v>
      </c>
      <c r="C488" s="3" t="str">
        <f t="shared" si="43"/>
        <v>C</v>
      </c>
      <c r="D488" s="9" t="str">
        <f t="shared" si="44"/>
        <v>37573</v>
      </c>
      <c r="E488" s="3" t="str">
        <f t="shared" si="45"/>
        <v>CSJ0  37573</v>
      </c>
      <c r="F488" s="10" t="str">
        <f t="shared" si="46"/>
        <v>PCCN: CRGARM:-:PLISN: CSJ0 :-:PCC: TIT :-: CAGE: 0Y3H3:-:PART NUMBER: 37573:-:NOMENCLATURE: NUT,SELF-LOCKING,HE:-:PRICE: $0.14:-:UNIQUE MODS: NO:-:PROPRIETARILY MFG FOR OEM: NO:-: :-: :-: :-:NSN: 5310016005350 :-: NHA: 12574289</v>
      </c>
      <c r="G488" s="8" t="str">
        <f>IF([1]All!$B489="","",[1]All!$B489)</f>
        <v xml:space="preserve">CSJ0 </v>
      </c>
      <c r="H488" s="8"/>
      <c r="I488" s="8" t="str">
        <f>IF([1]All!$D489=0,"",[1]All!$D489)</f>
        <v>C</v>
      </c>
      <c r="J488" s="8" t="str">
        <f>IF([1]All!$E489=0,"",[1]All!$E489)</f>
        <v>0Y3H3</v>
      </c>
      <c r="K488" s="8" t="s">
        <v>372</v>
      </c>
      <c r="L488" s="11" t="str">
        <f>IF([1]All!$L489=0,"",[1]All!$L489)</f>
        <v>NUT,SELF-LOCKING,HE</v>
      </c>
      <c r="M488" s="7" t="str">
        <f>IF([1]All!$AJ489=0,"",[1]All!$AJ489)</f>
        <v xml:space="preserve">CLUW </v>
      </c>
      <c r="N488" s="7" t="str">
        <f>IF([1]All!$R489=0,"",[1]All!$R489)</f>
        <v>5310</v>
      </c>
      <c r="O488" s="7" t="str">
        <f>IF([1]All!$S489=0,"",[1]All!$S489)</f>
        <v>016005350</v>
      </c>
      <c r="P488" s="7" t="str">
        <f>IF([1]All!$V489=0,"",[1]All!$V489)</f>
        <v>0000000014</v>
      </c>
      <c r="Q488" s="3" t="str">
        <f t="shared" si="47"/>
        <v>$0.14</v>
      </c>
      <c r="R488" s="8" t="str">
        <f>IF([1]All!$F489=0,"",[1]All!$F489)</f>
        <v>37573</v>
      </c>
    </row>
    <row r="489" spans="1:18">
      <c r="A489" s="7"/>
      <c r="B489" s="3">
        <f t="shared" si="42"/>
        <v>67</v>
      </c>
      <c r="C489" s="3" t="str">
        <f t="shared" si="43"/>
        <v>C</v>
      </c>
      <c r="D489" s="9" t="str">
        <f t="shared" si="44"/>
        <v>1140358</v>
      </c>
      <c r="E489" s="3" t="str">
        <f t="shared" si="45"/>
        <v>CSQW  1140358</v>
      </c>
      <c r="F489" s="10" t="str">
        <f t="shared" si="46"/>
        <v>PCCN: CRGARM:-:PLISN: CSQW :-:PCC: TIT :-: CAGE: 0Y3H3:-:PART NUMBER: 1140358:-:NOMENCLATURE: WASHER,FLAT:-:PRICE: $0.08:-:UNIQUE MODS: NO:-:PROPRIETARILY MFG FOR OEM: NO:-: :-: :-: :-:NSN: 5310015787473 :-: NHA: 12574289</v>
      </c>
      <c r="G489" s="8" t="str">
        <f>IF([1]All!$B490="","",[1]All!$B490)</f>
        <v xml:space="preserve">CSQW </v>
      </c>
      <c r="H489" s="8"/>
      <c r="I489" s="8" t="str">
        <f>IF([1]All!$D490=0,"",[1]All!$D490)</f>
        <v>C</v>
      </c>
      <c r="J489" s="8" t="str">
        <f>IF([1]All!$E490=0,"",[1]All!$E490)</f>
        <v>0Y3H3</v>
      </c>
      <c r="K489" s="8" t="s">
        <v>373</v>
      </c>
      <c r="L489" s="11" t="str">
        <f>IF([1]All!$L490=0,"",[1]All!$L490)</f>
        <v>WASHER,FLAT</v>
      </c>
      <c r="M489" s="7" t="str">
        <f>IF([1]All!$AJ490=0,"",[1]All!$AJ490)</f>
        <v xml:space="preserve">CLUW </v>
      </c>
      <c r="N489" s="7" t="str">
        <f>IF([1]All!$R490=0,"",[1]All!$R490)</f>
        <v>5310</v>
      </c>
      <c r="O489" s="7" t="str">
        <f>IF([1]All!$S490=0,"",[1]All!$S490)</f>
        <v>015787473</v>
      </c>
      <c r="P489" s="7" t="str">
        <f>IF([1]All!$V490=0,"",[1]All!$V490)</f>
        <v>0000000008</v>
      </c>
      <c r="Q489" s="3" t="str">
        <f t="shared" si="47"/>
        <v>$0.08</v>
      </c>
      <c r="R489" s="8" t="str">
        <f>IF([1]All!$F490=0,"",[1]All!$F490)</f>
        <v>1140358</v>
      </c>
    </row>
    <row r="490" spans="1:18">
      <c r="A490" s="7"/>
      <c r="B490" s="3">
        <f t="shared" si="42"/>
        <v>67</v>
      </c>
      <c r="C490" s="3" t="str">
        <f t="shared" si="43"/>
        <v>C</v>
      </c>
      <c r="D490" s="9" t="str">
        <f t="shared" si="44"/>
        <v>94645A220</v>
      </c>
      <c r="E490" s="3" t="str">
        <f t="shared" si="45"/>
        <v>CSWS  94645A220</v>
      </c>
      <c r="F490" s="10" t="str">
        <f t="shared" si="46"/>
        <v>PCCN: CRGARM:-:PLISN: CSWS :-:PCC: TIT :-: CAGE: 39428:-:PART NUMBER: 94645A220:-:NOMENCLATURE: NUT,SELF-LOCKING,HE:-:PRICE: $0.45:-:UNIQUE MODS: NO:-:PROPRIETARILY MFG FOR OEM: NO:-: :-: :-: :-:NSN: 5310016236056 :-: NHA: 12574289</v>
      </c>
      <c r="G490" s="8" t="str">
        <f>IF([1]All!$B491="","",[1]All!$B491)</f>
        <v xml:space="preserve">CSWS </v>
      </c>
      <c r="H490" s="8"/>
      <c r="I490" s="8" t="str">
        <f>IF([1]All!$D491=0,"",[1]All!$D491)</f>
        <v>C</v>
      </c>
      <c r="J490" s="8" t="str">
        <f>IF([1]All!$E491=0,"",[1]All!$E491)</f>
        <v>39428</v>
      </c>
      <c r="K490" s="8" t="s">
        <v>374</v>
      </c>
      <c r="L490" s="11" t="str">
        <f>IF([1]All!$L491=0,"",[1]All!$L491)</f>
        <v>NUT,SELF-LOCKING,HE</v>
      </c>
      <c r="M490" s="7" t="str">
        <f>IF([1]All!$AJ491=0,"",[1]All!$AJ491)</f>
        <v xml:space="preserve">CLUW </v>
      </c>
      <c r="N490" s="7" t="str">
        <f>IF([1]All!$R491=0,"",[1]All!$R491)</f>
        <v>5310</v>
      </c>
      <c r="O490" s="7" t="str">
        <f>IF([1]All!$S491=0,"",[1]All!$S491)</f>
        <v>016236056</v>
      </c>
      <c r="P490" s="7" t="str">
        <f>IF([1]All!$V491=0,"",[1]All!$V491)</f>
        <v>0000000045</v>
      </c>
      <c r="Q490" s="3" t="str">
        <f t="shared" si="47"/>
        <v>$0.45</v>
      </c>
      <c r="R490" s="8" t="str">
        <f>IF([1]All!$F491=0,"",[1]All!$F491)</f>
        <v>94645A220</v>
      </c>
    </row>
    <row r="491" spans="1:18">
      <c r="A491" s="7"/>
      <c r="B491" s="3">
        <f t="shared" si="42"/>
        <v>67</v>
      </c>
      <c r="C491" s="3" t="str">
        <f t="shared" si="43"/>
        <v>C</v>
      </c>
      <c r="D491" s="9" t="str">
        <f t="shared" si="44"/>
        <v>12574300</v>
      </c>
      <c r="E491" s="3" t="str">
        <f t="shared" si="45"/>
        <v>CS2N  12574300</v>
      </c>
      <c r="F491" s="10" t="str">
        <f t="shared" si="46"/>
        <v>PCCN: CRGARM:-:PLISN: CS2N :-:PCC: TIT :-: CAGE: 19207:-:PART NUMBER: 12574300:-:NOMENCLATURE: BRACKET,VEHICULAR C:-:PRICE: $350.00:-:UNIQUE MODS: NO:-:PROPRIETARILY MFG FOR OEM: NO:-: :-: :-: :-:NSN: 2590016311769 :-: NHA: 12574289</v>
      </c>
      <c r="G491" s="8" t="str">
        <f>IF([1]All!$B492="","",[1]All!$B492)</f>
        <v xml:space="preserve">CS2N </v>
      </c>
      <c r="H491" s="8"/>
      <c r="I491" s="8" t="str">
        <f>IF([1]All!$D492=0,"",[1]All!$D492)</f>
        <v>C</v>
      </c>
      <c r="J491" s="8" t="str">
        <f>IF([1]All!$E492=0,"",[1]All!$E492)</f>
        <v>19207</v>
      </c>
      <c r="K491" s="8" t="s">
        <v>375</v>
      </c>
      <c r="L491" s="11" t="str">
        <f>IF([1]All!$L492=0,"",[1]All!$L492)</f>
        <v>BRACKET,VEHICULAR C</v>
      </c>
      <c r="M491" s="7" t="str">
        <f>IF([1]All!$AJ492=0,"",[1]All!$AJ492)</f>
        <v xml:space="preserve">CLUW </v>
      </c>
      <c r="N491" s="7" t="str">
        <f>IF([1]All!$R492=0,"",[1]All!$R492)</f>
        <v>2590</v>
      </c>
      <c r="O491" s="7" t="str">
        <f>IF([1]All!$S492=0,"",[1]All!$S492)</f>
        <v>016311769</v>
      </c>
      <c r="P491" s="7" t="str">
        <f>IF([1]All!$V492=0,"",[1]All!$V492)</f>
        <v>0000035000</v>
      </c>
      <c r="Q491" s="3" t="str">
        <f t="shared" si="47"/>
        <v>$350.00</v>
      </c>
      <c r="R491" s="8" t="str">
        <f>IF([1]All!$F492=0,"",[1]All!$F492)</f>
        <v>12574300</v>
      </c>
    </row>
    <row r="492" spans="1:18">
      <c r="A492" s="7"/>
      <c r="B492" s="3">
        <f t="shared" si="42"/>
        <v>68</v>
      </c>
      <c r="C492" s="3" t="str">
        <f t="shared" si="43"/>
        <v>D</v>
      </c>
      <c r="D492" s="9" t="str">
        <f t="shared" si="44"/>
        <v>12574301</v>
      </c>
      <c r="E492" s="3" t="str">
        <f t="shared" si="45"/>
        <v>CS8J  12574301</v>
      </c>
      <c r="F492" s="10" t="str">
        <f t="shared" si="46"/>
        <v>PCCN: CRGARM:-:PLISN: CS8J :-:PCC: TIT :-: CAGE: 19207:-:PART NUMBER: 12574301:-:NOMENCLATURE: BRACKET,VEHICULAR C:-:PRICE: $150.00:-:UNIQUE MODS: NO:-:PROPRIETARILY MFG FOR OEM: NO:-: :-: :-: :-:NSN: 2590016311269 :-: NHA: 12574300 :-: NHA NSN: 2590016311769</v>
      </c>
      <c r="G492" s="8" t="str">
        <f>IF([1]All!$B493="","",[1]All!$B493)</f>
        <v xml:space="preserve">CS8J </v>
      </c>
      <c r="H492" s="8"/>
      <c r="I492" s="8" t="str">
        <f>IF([1]All!$D493=0,"",[1]All!$D493)</f>
        <v>D</v>
      </c>
      <c r="J492" s="8" t="str">
        <f>IF([1]All!$E493=0,"",[1]All!$E493)</f>
        <v>19207</v>
      </c>
      <c r="K492" s="8" t="s">
        <v>376</v>
      </c>
      <c r="L492" s="11" t="str">
        <f>IF([1]All!$L493=0,"",[1]All!$L493)</f>
        <v>BRACKET,VEHICULAR C</v>
      </c>
      <c r="M492" s="7" t="str">
        <f>IF([1]All!$AJ493=0,"",[1]All!$AJ493)</f>
        <v xml:space="preserve">CS2N </v>
      </c>
      <c r="N492" s="7" t="str">
        <f>IF([1]All!$R493=0,"",[1]All!$R493)</f>
        <v>2590</v>
      </c>
      <c r="O492" s="7" t="str">
        <f>IF([1]All!$S493=0,"",[1]All!$S493)</f>
        <v>016311269</v>
      </c>
      <c r="P492" s="7" t="str">
        <f>IF([1]All!$V493=0,"",[1]All!$V493)</f>
        <v>0000015000</v>
      </c>
      <c r="Q492" s="3" t="str">
        <f t="shared" si="47"/>
        <v>$150.00</v>
      </c>
      <c r="R492" s="8" t="str">
        <f>IF([1]All!$F493=0,"",[1]All!$F493)</f>
        <v>12574301</v>
      </c>
    </row>
    <row r="493" spans="1:18">
      <c r="A493" s="7"/>
      <c r="B493" s="3">
        <f t="shared" si="42"/>
        <v>68</v>
      </c>
      <c r="C493" s="3" t="str">
        <f t="shared" si="43"/>
        <v>D</v>
      </c>
      <c r="D493" s="9" t="str">
        <f t="shared" si="44"/>
        <v>12574302</v>
      </c>
      <c r="E493" s="3" t="str">
        <f t="shared" si="45"/>
        <v>CTEE  12574302</v>
      </c>
      <c r="F493" s="10" t="str">
        <f t="shared" si="46"/>
        <v>PCCN: CRGARM:-:PLISN: CTEE :-:PCC: TIT :-: CAGE: 19207:-:PART NUMBER: 12574302:-:NOMENCLATURE: BRACKET,VEHICULAR C:-:PRICE: $125.00:-:UNIQUE MODS: NO:-:PROPRIETARILY MFG FOR OEM: NO:-: :-: :-: :-:NSN: 2590016311262 :-: NHA: 12574300 :-: NHA NSN: 2590016311769</v>
      </c>
      <c r="G493" s="8" t="str">
        <f>IF([1]All!$B494="","",[1]All!$B494)</f>
        <v xml:space="preserve">CTEE </v>
      </c>
      <c r="H493" s="8"/>
      <c r="I493" s="8" t="str">
        <f>IF([1]All!$D494=0,"",[1]All!$D494)</f>
        <v>D</v>
      </c>
      <c r="J493" s="8" t="str">
        <f>IF([1]All!$E494=0,"",[1]All!$E494)</f>
        <v>19207</v>
      </c>
      <c r="K493" s="8" t="s">
        <v>377</v>
      </c>
      <c r="L493" s="11" t="str">
        <f>IF([1]All!$L494=0,"",[1]All!$L494)</f>
        <v>BRACKET,VEHICULAR C</v>
      </c>
      <c r="M493" s="7" t="str">
        <f>IF([1]All!$AJ494=0,"",[1]All!$AJ494)</f>
        <v xml:space="preserve">CS2N </v>
      </c>
      <c r="N493" s="7" t="str">
        <f>IF([1]All!$R494=0,"",[1]All!$R494)</f>
        <v>2590</v>
      </c>
      <c r="O493" s="7" t="str">
        <f>IF([1]All!$S494=0,"",[1]All!$S494)</f>
        <v>016311262</v>
      </c>
      <c r="P493" s="7" t="str">
        <f>IF([1]All!$V494=0,"",[1]All!$V494)</f>
        <v>0000012500</v>
      </c>
      <c r="Q493" s="3" t="str">
        <f t="shared" si="47"/>
        <v>$125.00</v>
      </c>
      <c r="R493" s="8" t="str">
        <f>IF([1]All!$F494=0,"",[1]All!$F494)</f>
        <v>12574302</v>
      </c>
    </row>
    <row r="494" spans="1:18">
      <c r="A494" s="7"/>
      <c r="B494" s="3">
        <f t="shared" si="42"/>
        <v>68</v>
      </c>
      <c r="C494" s="3" t="str">
        <f t="shared" si="43"/>
        <v>D</v>
      </c>
      <c r="D494" s="9" t="str">
        <f t="shared" si="44"/>
        <v>12574325</v>
      </c>
      <c r="E494" s="3" t="str">
        <f t="shared" si="45"/>
        <v>CTLA  12574325</v>
      </c>
      <c r="F494" s="10" t="str">
        <f t="shared" si="46"/>
        <v>PCCN: CRGARM:-:PLISN: CTLA :-:PCC: TIT :-: CAGE: 19207:-:PART NUMBER: 12574325:-:NOMENCLATURE: SPACER,PLATE:-:PRICE: $15.58:-:UNIQUE MODS: NO:-:PROPRIETARILY MFG FOR OEM: NO:-: :-: :-: :-:NSN: 5365016292676 :-: NHA: 12574300 :-: NHA NSN: 2590016311769</v>
      </c>
      <c r="G494" s="8" t="str">
        <f>IF([1]All!$B495="","",[1]All!$B495)</f>
        <v xml:space="preserve">CTLA </v>
      </c>
      <c r="H494" s="8"/>
      <c r="I494" s="8" t="str">
        <f>IF([1]All!$D495=0,"",[1]All!$D495)</f>
        <v>D</v>
      </c>
      <c r="J494" s="8" t="str">
        <f>IF([1]All!$E495=0,"",[1]All!$E495)</f>
        <v>19207</v>
      </c>
      <c r="K494" s="8" t="s">
        <v>378</v>
      </c>
      <c r="L494" s="11" t="str">
        <f>IF([1]All!$L495=0,"",[1]All!$L495)</f>
        <v>SPACER,PLATE</v>
      </c>
      <c r="M494" s="7" t="str">
        <f>IF([1]All!$AJ495=0,"",[1]All!$AJ495)</f>
        <v xml:space="preserve">CS2N </v>
      </c>
      <c r="N494" s="7" t="str">
        <f>IF([1]All!$R495=0,"",[1]All!$R495)</f>
        <v>5365</v>
      </c>
      <c r="O494" s="7" t="str">
        <f>IF([1]All!$S495=0,"",[1]All!$S495)</f>
        <v>016292676</v>
      </c>
      <c r="P494" s="7" t="str">
        <f>IF([1]All!$V495=0,"",[1]All!$V495)</f>
        <v>0000001558</v>
      </c>
      <c r="Q494" s="3" t="str">
        <f t="shared" si="47"/>
        <v>$15.58</v>
      </c>
      <c r="R494" s="8" t="str">
        <f>IF([1]All!$F495=0,"",[1]All!$F495)</f>
        <v>12574325</v>
      </c>
    </row>
    <row r="495" spans="1:18">
      <c r="A495" s="7"/>
      <c r="B495" s="3">
        <f t="shared" si="42"/>
        <v>68</v>
      </c>
      <c r="C495" s="3" t="str">
        <f t="shared" si="43"/>
        <v>D</v>
      </c>
      <c r="D495" s="9" t="str">
        <f t="shared" si="44"/>
        <v>12574326</v>
      </c>
      <c r="E495" s="3" t="str">
        <f t="shared" si="45"/>
        <v>CTR6  12574326</v>
      </c>
      <c r="F495" s="10" t="str">
        <f t="shared" si="46"/>
        <v>PCCN: CRGARM:-:PLISN: CTR6 :-:PCC: TIT :-: CAGE: 19207:-:PART NUMBER: 12574326:-:NOMENCLATURE: PLATE,MOUNTING:-:PRICE: $10.39:-:UNIQUE MODS: NO:-:PROPRIETARILY MFG FOR OEM: NO:-: :-: :-: :-:NSN: 5340016291831 :-: NHA: 12574300 :-: NHA NSN: 2590016311769</v>
      </c>
      <c r="G495" s="8" t="str">
        <f>IF([1]All!$B496="","",[1]All!$B496)</f>
        <v xml:space="preserve">CTR6 </v>
      </c>
      <c r="H495" s="8"/>
      <c r="I495" s="8" t="str">
        <f>IF([1]All!$D496=0,"",[1]All!$D496)</f>
        <v>D</v>
      </c>
      <c r="J495" s="8" t="str">
        <f>IF([1]All!$E496=0,"",[1]All!$E496)</f>
        <v>19207</v>
      </c>
      <c r="K495" s="8" t="s">
        <v>379</v>
      </c>
      <c r="L495" s="11" t="str">
        <f>IF([1]All!$L496=0,"",[1]All!$L496)</f>
        <v>PLATE,MOUNTING</v>
      </c>
      <c r="M495" s="7" t="str">
        <f>IF([1]All!$AJ496=0,"",[1]All!$AJ496)</f>
        <v xml:space="preserve">CS2N </v>
      </c>
      <c r="N495" s="7" t="str">
        <f>IF([1]All!$R496=0,"",[1]All!$R496)</f>
        <v>5340</v>
      </c>
      <c r="O495" s="7" t="str">
        <f>IF([1]All!$S496=0,"",[1]All!$S496)</f>
        <v>016291831</v>
      </c>
      <c r="P495" s="7" t="str">
        <f>IF([1]All!$V496=0,"",[1]All!$V496)</f>
        <v>0000001039</v>
      </c>
      <c r="Q495" s="3" t="str">
        <f t="shared" si="47"/>
        <v>$10.39</v>
      </c>
      <c r="R495" s="8" t="str">
        <f>IF([1]All!$F496=0,"",[1]All!$F496)</f>
        <v>12574326</v>
      </c>
    </row>
    <row r="496" spans="1:18">
      <c r="A496" s="7"/>
      <c r="B496" s="3">
        <f t="shared" si="42"/>
        <v>68</v>
      </c>
      <c r="C496" s="3" t="str">
        <f t="shared" si="43"/>
        <v>D</v>
      </c>
      <c r="D496" s="9" t="str">
        <f t="shared" si="44"/>
        <v>12574327</v>
      </c>
      <c r="E496" s="3" t="str">
        <f t="shared" si="45"/>
        <v>CTX2  12574327</v>
      </c>
      <c r="F496" s="10" t="str">
        <f t="shared" si="46"/>
        <v>PCCN: CRGARM:-:PLISN: CTX2 :-:PCC: TIT :-: CAGE: 19207:-:PART NUMBER: 12574327:-:NOMENCLATURE: COVER,ACCESS:-:PRICE: $15.58:-:UNIQUE MODS: NO:-:PROPRIETARILY MFG FOR OEM: NO:-: :-: :-: :-:NSN: 5340016295403 :-: NHA: 12574300 :-: NHA NSN: 2590016311769</v>
      </c>
      <c r="G496" s="8" t="str">
        <f>IF([1]All!$B497="","",[1]All!$B497)</f>
        <v xml:space="preserve">CTX2 </v>
      </c>
      <c r="H496" s="8"/>
      <c r="I496" s="8" t="str">
        <f>IF([1]All!$D497=0,"",[1]All!$D497)</f>
        <v>D</v>
      </c>
      <c r="J496" s="8" t="str">
        <f>IF([1]All!$E497=0,"",[1]All!$E497)</f>
        <v>19207</v>
      </c>
      <c r="K496" s="8" t="s">
        <v>380</v>
      </c>
      <c r="L496" s="11" t="str">
        <f>IF([1]All!$L497=0,"",[1]All!$L497)</f>
        <v>COVER,ACCESS</v>
      </c>
      <c r="M496" s="7" t="str">
        <f>IF([1]All!$AJ497=0,"",[1]All!$AJ497)</f>
        <v xml:space="preserve">CS2N </v>
      </c>
      <c r="N496" s="7" t="str">
        <f>IF([1]All!$R497=0,"",[1]All!$R497)</f>
        <v>5340</v>
      </c>
      <c r="O496" s="7" t="str">
        <f>IF([1]All!$S497=0,"",[1]All!$S497)</f>
        <v>016295403</v>
      </c>
      <c r="P496" s="7" t="str">
        <f>IF([1]All!$V497=0,"",[1]All!$V497)</f>
        <v>0000001558</v>
      </c>
      <c r="Q496" s="3" t="str">
        <f t="shared" si="47"/>
        <v>$15.58</v>
      </c>
      <c r="R496" s="8" t="str">
        <f>IF([1]All!$F497=0,"",[1]All!$F497)</f>
        <v>12574327</v>
      </c>
    </row>
    <row r="497" spans="1:18">
      <c r="A497" s="7"/>
      <c r="B497" s="3">
        <f t="shared" si="42"/>
        <v>68</v>
      </c>
      <c r="C497" s="3" t="str">
        <f t="shared" si="43"/>
        <v>D</v>
      </c>
      <c r="D497" s="9" t="str">
        <f t="shared" si="44"/>
        <v>90096A550</v>
      </c>
      <c r="E497" s="3" t="str">
        <f t="shared" si="45"/>
        <v>CT3Y  90096A550</v>
      </c>
      <c r="F497" s="10" t="str">
        <f t="shared" si="46"/>
        <v>PCCN: CRGARM:-:PLISN: CT3Y :-:PCC: TIT :-: CAGE: 39428:-:PART NUMBER: 90096A550:-:NOMENCLATURE: SCREW,TAPPING:-:PRICE: $10.37:-:UNIQUE MODS: NO:-:PROPRIETARILY MFG FOR OEM: NO:-: :-: :-: :-:NSN: 5305016297959 :-: NHA: 12574300 :-: NHA NSN: 2590016311769</v>
      </c>
      <c r="G497" s="8" t="str">
        <f>IF([1]All!$B498="","",[1]All!$B498)</f>
        <v xml:space="preserve">CT3Y </v>
      </c>
      <c r="H497" s="8"/>
      <c r="I497" s="8" t="str">
        <f>IF([1]All!$D498=0,"",[1]All!$D498)</f>
        <v>D</v>
      </c>
      <c r="J497" s="8" t="str">
        <f>IF([1]All!$E498=0,"",[1]All!$E498)</f>
        <v>39428</v>
      </c>
      <c r="K497" s="8" t="s">
        <v>371</v>
      </c>
      <c r="L497" s="11" t="str">
        <f>IF([1]All!$L498=0,"",[1]All!$L498)</f>
        <v>SCREW,TAPPING</v>
      </c>
      <c r="M497" s="7" t="str">
        <f>IF([1]All!$AJ498=0,"",[1]All!$AJ498)</f>
        <v xml:space="preserve">CS2N </v>
      </c>
      <c r="N497" s="7" t="str">
        <f>IF([1]All!$R498=0,"",[1]All!$R498)</f>
        <v>5305</v>
      </c>
      <c r="O497" s="7" t="str">
        <f>IF([1]All!$S498=0,"",[1]All!$S498)</f>
        <v>016297959</v>
      </c>
      <c r="P497" s="7" t="str">
        <f>IF([1]All!$V498=0,"",[1]All!$V498)</f>
        <v>0000001037</v>
      </c>
      <c r="Q497" s="3" t="str">
        <f t="shared" si="47"/>
        <v>$10.37</v>
      </c>
      <c r="R497" s="8" t="str">
        <f>IF([1]All!$F498=0,"",[1]All!$F498)</f>
        <v>90096A550</v>
      </c>
    </row>
    <row r="498" spans="1:18">
      <c r="A498" s="7"/>
      <c r="B498" s="3">
        <f t="shared" si="42"/>
        <v>68</v>
      </c>
      <c r="C498" s="3" t="str">
        <f t="shared" si="43"/>
        <v>D</v>
      </c>
      <c r="D498" s="9" t="str">
        <f t="shared" si="44"/>
        <v>10001913</v>
      </c>
      <c r="E498" s="3" t="str">
        <f t="shared" si="45"/>
        <v>CT9U  10001913</v>
      </c>
      <c r="F498" s="10" t="str">
        <f t="shared" si="46"/>
        <v>PCCN: CRGARM:-:PLISN: CT9U :-:PCC: TIT :-: CAGE: 1EFH8:-:PART NUMBER: 10001913:-:NOMENCLATURE: PIN,QUICK RELEASE:-:PRICE: $6.53:-:UNIQUE MODS: NO:-:PROPRIETARILY MFG FOR OEM: NO:-: :-: :-: :-:NSN: 5315015290802 :-: NHA: 12574300 :-: NHA NSN: 2590016311769</v>
      </c>
      <c r="G498" s="8" t="str">
        <f>IF([1]All!$B499="","",[1]All!$B499)</f>
        <v xml:space="preserve">CT9U </v>
      </c>
      <c r="H498" s="8"/>
      <c r="I498" s="8" t="str">
        <f>IF([1]All!$D499=0,"",[1]All!$D499)</f>
        <v>D</v>
      </c>
      <c r="J498" s="8" t="str">
        <f>IF([1]All!$E499=0,"",[1]All!$E499)</f>
        <v>1EFH8</v>
      </c>
      <c r="K498" s="8" t="s">
        <v>381</v>
      </c>
      <c r="L498" s="11" t="str">
        <f>IF([1]All!$L499=0,"",[1]All!$L499)</f>
        <v>PIN,QUICK RELEASE</v>
      </c>
      <c r="M498" s="7" t="str">
        <f>IF([1]All!$AJ499=0,"",[1]All!$AJ499)</f>
        <v xml:space="preserve">CS2N </v>
      </c>
      <c r="N498" s="7" t="str">
        <f>IF([1]All!$R499=0,"",[1]All!$R499)</f>
        <v>5315</v>
      </c>
      <c r="O498" s="7" t="str">
        <f>IF([1]All!$S499=0,"",[1]All!$S499)</f>
        <v>015290802</v>
      </c>
      <c r="P498" s="7" t="str">
        <f>IF([1]All!$V499=0,"",[1]All!$V499)</f>
        <v>0000000653</v>
      </c>
      <c r="Q498" s="3" t="str">
        <f t="shared" si="47"/>
        <v>$6.53</v>
      </c>
      <c r="R498" s="8" t="str">
        <f>IF([1]All!$F499=0,"",[1]All!$F499)</f>
        <v>10001913</v>
      </c>
    </row>
    <row r="499" spans="1:18">
      <c r="A499" s="7"/>
      <c r="B499" s="3">
        <f t="shared" si="42"/>
        <v>68</v>
      </c>
      <c r="C499" s="3" t="str">
        <f t="shared" si="43"/>
        <v>D</v>
      </c>
      <c r="D499" s="9" t="str">
        <f t="shared" si="44"/>
        <v>91286A318</v>
      </c>
      <c r="E499" s="3" t="str">
        <f t="shared" si="45"/>
        <v>CUFQ  91286A318</v>
      </c>
      <c r="F499" s="10" t="str">
        <f t="shared" si="46"/>
        <v>PCCN: CRGARM:-:PLISN: CUFQ :-:PCC: TIT :-: CAGE: 39428:-:PART NUMBER: 91286A318:-:NOMENCLATURE: SCREW,CAP,HEXAGON H:-:PRICE: $0.88:-:UNIQUE MODS: NO:-:PROPRIETARILY MFG FOR OEM: NO:-: :-: :-: :-: :-: NHA: 12574300 :-: NHA NSN: 2590016311769</v>
      </c>
      <c r="G499" s="8" t="str">
        <f>IF([1]All!$B500="","",[1]All!$B500)</f>
        <v xml:space="preserve">CUFQ </v>
      </c>
      <c r="H499" s="8"/>
      <c r="I499" s="8" t="str">
        <f>IF([1]All!$D500=0,"",[1]All!$D500)</f>
        <v>D</v>
      </c>
      <c r="J499" s="8" t="str">
        <f>IF([1]All!$E500=0,"",[1]All!$E500)</f>
        <v>39428</v>
      </c>
      <c r="K499" s="8" t="s">
        <v>382</v>
      </c>
      <c r="L499" s="11" t="str">
        <f>IF([1]All!$L500=0,"",[1]All!$L500)</f>
        <v>SCREW,CAP,HEXAGON H</v>
      </c>
      <c r="M499" s="7" t="str">
        <f>IF([1]All!$AJ500=0,"",[1]All!$AJ500)</f>
        <v xml:space="preserve">CS2N </v>
      </c>
      <c r="N499" s="7" t="str">
        <f>IF([1]All!$R500=0,"",[1]All!$R500)</f>
        <v/>
      </c>
      <c r="O499" s="7" t="str">
        <f>IF([1]All!$S500=0,"",[1]All!$S500)</f>
        <v/>
      </c>
      <c r="P499" s="7" t="str">
        <f>IF([1]All!$V500=0,"",[1]All!$V500)</f>
        <v>0000000088</v>
      </c>
      <c r="Q499" s="3" t="str">
        <f t="shared" si="47"/>
        <v>$0.88</v>
      </c>
      <c r="R499" s="8" t="str">
        <f>IF([1]All!$F500=0,"",[1]All!$F500)</f>
        <v>91286A318</v>
      </c>
    </row>
    <row r="500" spans="1:18">
      <c r="A500" s="7"/>
      <c r="B500" s="3">
        <f t="shared" si="42"/>
        <v>68</v>
      </c>
      <c r="C500" s="3" t="str">
        <f t="shared" si="43"/>
        <v>D</v>
      </c>
      <c r="D500" s="9" t="str">
        <f t="shared" si="44"/>
        <v>91102A770</v>
      </c>
      <c r="E500" s="3" t="str">
        <f t="shared" si="45"/>
        <v>CUML  91102A770</v>
      </c>
      <c r="F500" s="10" t="str">
        <f t="shared" si="46"/>
        <v>PCCN: CRGARM:-:PLISN: CUML :-:PCC: TIT :-: CAGE: 39428:-:PART NUMBER: 91102A770:-:NOMENCLATURE: WASHER,LOCK:-:PRICE: $0.12:-:UNIQUE MODS: NO:-:PROPRIETARILY MFG FOR OEM: NO:-: :-: :-: :-:NSN: 5310015335500 :-: NHA: 12574300 :-: NHA NSN: 2590016311769</v>
      </c>
      <c r="G500" s="8" t="str">
        <f>IF([1]All!$B501="","",[1]All!$B501)</f>
        <v xml:space="preserve">CUML </v>
      </c>
      <c r="H500" s="8"/>
      <c r="I500" s="8" t="str">
        <f>IF([1]All!$D501=0,"",[1]All!$D501)</f>
        <v>D</v>
      </c>
      <c r="J500" s="8" t="str">
        <f>IF([1]All!$E501=0,"",[1]All!$E501)</f>
        <v>39428</v>
      </c>
      <c r="K500" s="8" t="s">
        <v>199</v>
      </c>
      <c r="L500" s="11" t="str">
        <f>IF([1]All!$L501=0,"",[1]All!$L501)</f>
        <v>WASHER,LOCK</v>
      </c>
      <c r="M500" s="7" t="str">
        <f>IF([1]All!$AJ501=0,"",[1]All!$AJ501)</f>
        <v xml:space="preserve">CS2N </v>
      </c>
      <c r="N500" s="7" t="str">
        <f>IF([1]All!$R501=0,"",[1]All!$R501)</f>
        <v>5310</v>
      </c>
      <c r="O500" s="7" t="str">
        <f>IF([1]All!$S501=0,"",[1]All!$S501)</f>
        <v>015335500</v>
      </c>
      <c r="P500" s="7" t="str">
        <f>IF([1]All!$V501=0,"",[1]All!$V501)</f>
        <v>0000000012</v>
      </c>
      <c r="Q500" s="3" t="str">
        <f t="shared" si="47"/>
        <v>$0.12</v>
      </c>
      <c r="R500" s="8" t="str">
        <f>IF([1]All!$F501=0,"",[1]All!$F501)</f>
        <v>91102A770</v>
      </c>
    </row>
    <row r="501" spans="1:18">
      <c r="A501" s="7"/>
      <c r="B501" s="3">
        <f t="shared" si="42"/>
        <v>68</v>
      </c>
      <c r="C501" s="3" t="str">
        <f t="shared" si="43"/>
        <v>D</v>
      </c>
      <c r="D501" s="9" t="str">
        <f t="shared" si="44"/>
        <v>LT1504-C8-10</v>
      </c>
      <c r="E501" s="3" t="str">
        <f t="shared" si="45"/>
        <v>CUTG  LT1504-C8-10</v>
      </c>
      <c r="F501" s="10" t="str">
        <f t="shared" si="46"/>
        <v>PCCN: CRGARM:-:PLISN: CUTG :-:PCC: TIT :-: CAGE: 84256:-:PART NUMBER: LT1504-C8-10:-:NOMENCLATURE: WIRE ROPE ASSEMBLY,:-:PRICE: $3.09:-:UNIQUE MODS: NO:-:PROPRIETARILY MFG FOR OEM: NO:-: :-: :-: :-:NSN: 4010011666259 :-: NHA: 12574300 :-: NHA NSN: 2590016311769</v>
      </c>
      <c r="G501" s="8" t="str">
        <f>IF([1]All!$B502="","",[1]All!$B502)</f>
        <v xml:space="preserve">CUTG </v>
      </c>
      <c r="H501" s="8"/>
      <c r="I501" s="8" t="str">
        <f>IF([1]All!$D502=0,"",[1]All!$D502)</f>
        <v>D</v>
      </c>
      <c r="J501" s="8" t="str">
        <f>IF([1]All!$E502=0,"",[1]All!$E502)</f>
        <v>84256</v>
      </c>
      <c r="K501" s="8" t="s">
        <v>383</v>
      </c>
      <c r="L501" s="11" t="str">
        <f>IF([1]All!$L502=0,"",[1]All!$L502)</f>
        <v>WIRE ROPE ASSEMBLY,</v>
      </c>
      <c r="M501" s="7" t="str">
        <f>IF([1]All!$AJ502=0,"",[1]All!$AJ502)</f>
        <v xml:space="preserve">CS2N </v>
      </c>
      <c r="N501" s="7" t="str">
        <f>IF([1]All!$R502=0,"",[1]All!$R502)</f>
        <v>4010</v>
      </c>
      <c r="O501" s="7" t="str">
        <f>IF([1]All!$S502=0,"",[1]All!$S502)</f>
        <v>011666259</v>
      </c>
      <c r="P501" s="7" t="str">
        <f>IF([1]All!$V502=0,"",[1]All!$V502)</f>
        <v>0000000309</v>
      </c>
      <c r="Q501" s="3" t="str">
        <f t="shared" si="47"/>
        <v>$3.09</v>
      </c>
      <c r="R501" s="8" t="str">
        <f>IF([1]All!$F502=0,"",[1]All!$F502)</f>
        <v>LT1504-C8-10</v>
      </c>
    </row>
    <row r="502" spans="1:18">
      <c r="A502" s="7"/>
      <c r="B502" s="3">
        <f t="shared" si="42"/>
        <v>68</v>
      </c>
      <c r="C502" s="3" t="str">
        <f t="shared" si="43"/>
        <v>D</v>
      </c>
      <c r="D502" s="9" t="str">
        <f t="shared" si="44"/>
        <v>91263A559</v>
      </c>
      <c r="E502" s="3" t="str">
        <f t="shared" si="45"/>
        <v>CUZC  91263A559</v>
      </c>
      <c r="F502" s="10" t="str">
        <f t="shared" si="46"/>
        <v>PCCN: CRGARM:-:PLISN: CUZC :-:PCC: TIT :-: CAGE: 39428:-:PART NUMBER: 91263A559:-:NOMENCLATURE: SCREW,CAP,SOCKET HE:-:PRICE: $0.48:-:UNIQUE MODS: NO:-:PROPRIETARILY MFG FOR OEM: NO:-: :-: :-: :-:NSN: 5305015802864 :-: NHA: 12574300 :-: NHA NSN: 2590016311769</v>
      </c>
      <c r="G502" s="8" t="str">
        <f>IF([1]All!$B503="","",[1]All!$B503)</f>
        <v xml:space="preserve">CUZC </v>
      </c>
      <c r="H502" s="8"/>
      <c r="I502" s="8" t="str">
        <f>IF([1]All!$D503=0,"",[1]All!$D503)</f>
        <v>D</v>
      </c>
      <c r="J502" s="8" t="str">
        <f>IF([1]All!$E503=0,"",[1]All!$E503)</f>
        <v>39428</v>
      </c>
      <c r="K502" s="8" t="s">
        <v>384</v>
      </c>
      <c r="L502" s="11" t="str">
        <f>IF([1]All!$L503=0,"",[1]All!$L503)</f>
        <v>SCREW,CAP,SOCKET HE</v>
      </c>
      <c r="M502" s="7" t="str">
        <f>IF([1]All!$AJ503=0,"",[1]All!$AJ503)</f>
        <v xml:space="preserve">CS2N </v>
      </c>
      <c r="N502" s="7" t="str">
        <f>IF([1]All!$R503=0,"",[1]All!$R503)</f>
        <v>5305</v>
      </c>
      <c r="O502" s="7" t="str">
        <f>IF([1]All!$S503=0,"",[1]All!$S503)</f>
        <v>015802864</v>
      </c>
      <c r="P502" s="7" t="str">
        <f>IF([1]All!$V503=0,"",[1]All!$V503)</f>
        <v>0000000048</v>
      </c>
      <c r="Q502" s="3" t="str">
        <f t="shared" si="47"/>
        <v>$0.48</v>
      </c>
      <c r="R502" s="8" t="str">
        <f>IF([1]All!$F503=0,"",[1]All!$F503)</f>
        <v>91263A559</v>
      </c>
    </row>
    <row r="503" spans="1:18">
      <c r="A503" s="7"/>
      <c r="B503" s="3">
        <f t="shared" si="42"/>
        <v>67</v>
      </c>
      <c r="C503" s="3" t="str">
        <f t="shared" si="43"/>
        <v>C</v>
      </c>
      <c r="D503" s="9" t="str">
        <f t="shared" si="44"/>
        <v>16055T267</v>
      </c>
      <c r="E503" s="3" t="str">
        <f t="shared" si="45"/>
        <v>CU48  16055T267</v>
      </c>
      <c r="F503" s="10" t="str">
        <f t="shared" si="46"/>
        <v>PCCN: CRGARM:-:PLISN: CU48 :-:PCC: TIT :-: CAGE: 39428:-:PART NUMBER: 16055T267:-:NOMENCLATURE: LABEL:-:PRICE: $1.10:-:UNIQUE MODS: NO:-:PROPRIETARILY MFG FOR OEM: NO:-: :-: :-: :-: :-: NHA: 12574289</v>
      </c>
      <c r="G503" s="8" t="str">
        <f>IF([1]All!$B504="","",[1]All!$B504)</f>
        <v xml:space="preserve">CU48 </v>
      </c>
      <c r="H503" s="8"/>
      <c r="I503" s="8" t="str">
        <f>IF([1]All!$D504=0,"",[1]All!$D504)</f>
        <v>C</v>
      </c>
      <c r="J503" s="8" t="str">
        <f>IF([1]All!$E504=0,"",[1]All!$E504)</f>
        <v>39428</v>
      </c>
      <c r="K503" s="8" t="s">
        <v>385</v>
      </c>
      <c r="L503" s="11" t="str">
        <f>IF([1]All!$L504=0,"",[1]All!$L504)</f>
        <v>LABEL</v>
      </c>
      <c r="M503" s="7" t="str">
        <f>IF([1]All!$AJ504=0,"",[1]All!$AJ504)</f>
        <v xml:space="preserve">CLUW </v>
      </c>
      <c r="N503" s="7" t="str">
        <f>IF([1]All!$R504=0,"",[1]All!$R504)</f>
        <v/>
      </c>
      <c r="O503" s="7" t="str">
        <f>IF([1]All!$S504=0,"",[1]All!$S504)</f>
        <v/>
      </c>
      <c r="P503" s="7" t="str">
        <f>IF([1]All!$V504=0,"",[1]All!$V504)</f>
        <v>0000000110</v>
      </c>
      <c r="Q503" s="3" t="str">
        <f t="shared" si="47"/>
        <v>$1.10</v>
      </c>
      <c r="R503" s="8" t="str">
        <f>IF([1]All!$F504=0,"",[1]All!$F504)</f>
        <v>16055T267</v>
      </c>
    </row>
    <row r="504" spans="1:18">
      <c r="A504" s="7"/>
      <c r="B504" s="3">
        <f t="shared" si="42"/>
        <v>67</v>
      </c>
      <c r="C504" s="3" t="str">
        <f t="shared" si="43"/>
        <v>C</v>
      </c>
      <c r="D504" s="9" t="str">
        <f t="shared" si="44"/>
        <v>7840K73</v>
      </c>
      <c r="E504" s="3" t="str">
        <f t="shared" si="45"/>
        <v>CVA4  7840K73</v>
      </c>
      <c r="F504" s="10" t="str">
        <f t="shared" si="46"/>
        <v>PCCN: CRGARM:-:PLISN: CVA4 :-:PCC: TIT :-: CAGE: 39428:-:PART NUMBER: 7840K73:-:NOMENCLATURE: CONDUIT,NONMETALLIC:-:PRICE: $10.80:-:UNIQUE MODS: NO:-:PROPRIETARILY MFG FOR OEM: NO:-: :-: :-: :-: :-: NHA: 12574289</v>
      </c>
      <c r="G504" s="8" t="str">
        <f>IF([1]All!$B505="","",[1]All!$B505)</f>
        <v xml:space="preserve">CVA4 </v>
      </c>
      <c r="H504" s="8"/>
      <c r="I504" s="8" t="str">
        <f>IF([1]All!$D505=0,"",[1]All!$D505)</f>
        <v>C</v>
      </c>
      <c r="J504" s="8" t="str">
        <f>IF([1]All!$E505=0,"",[1]All!$E505)</f>
        <v>39428</v>
      </c>
      <c r="K504" s="8" t="s">
        <v>386</v>
      </c>
      <c r="L504" s="11" t="str">
        <f>IF([1]All!$L505=0,"",[1]All!$L505)</f>
        <v>CONDUIT,NONMETALLIC</v>
      </c>
      <c r="M504" s="7" t="str">
        <f>IF([1]All!$AJ505=0,"",[1]All!$AJ505)</f>
        <v xml:space="preserve">CLUW </v>
      </c>
      <c r="N504" s="7" t="str">
        <f>IF([1]All!$R505=0,"",[1]All!$R505)</f>
        <v/>
      </c>
      <c r="O504" s="7" t="str">
        <f>IF([1]All!$S505=0,"",[1]All!$S505)</f>
        <v/>
      </c>
      <c r="P504" s="7" t="str">
        <f>IF([1]All!$V505=0,"",[1]All!$V505)</f>
        <v>0000001080</v>
      </c>
      <c r="Q504" s="3" t="str">
        <f t="shared" si="47"/>
        <v>$10.80</v>
      </c>
      <c r="R504" s="8" t="str">
        <f>IF([1]All!$F505=0,"",[1]All!$F505)</f>
        <v>7840K73</v>
      </c>
    </row>
    <row r="505" spans="1:18">
      <c r="A505" s="7"/>
      <c r="B505" s="3">
        <f t="shared" si="42"/>
        <v>67</v>
      </c>
      <c r="C505" s="3" t="str">
        <f t="shared" si="43"/>
        <v>C</v>
      </c>
      <c r="D505" s="9" t="str">
        <f t="shared" si="44"/>
        <v>M81914 8-2107</v>
      </c>
      <c r="E505" s="3" t="str">
        <f t="shared" si="45"/>
        <v>CVG0  M81914 8-2107</v>
      </c>
      <c r="F505" s="10" t="str">
        <f t="shared" si="46"/>
        <v>PCCN: CRGARM:-:PLISN: CVG0 :-:PCC: TIT :-: CAGE: 81343:-:PART NUMBER: M81914/8-2107:-:NOMENCLATURE: INSULATION SLEEVING:-:PRICE: $53.60:-:UNIQUE MODS: NO:-:PROPRIETARILY MFG FOR OEM: NO:-: :-: :-: :-:NSN: 5970016005875 :-: NHA: 12574289</v>
      </c>
      <c r="G505" s="8" t="str">
        <f>IF([1]All!$B506="","",[1]All!$B506)</f>
        <v xml:space="preserve">CVG0 </v>
      </c>
      <c r="H505" s="8"/>
      <c r="I505" s="8" t="str">
        <f>IF([1]All!$D506=0,"",[1]All!$D506)</f>
        <v>C</v>
      </c>
      <c r="J505" s="8" t="str">
        <f>IF([1]All!$E506=0,"",[1]All!$E506)</f>
        <v>81343</v>
      </c>
      <c r="K505" s="8" t="s">
        <v>449</v>
      </c>
      <c r="L505" s="11" t="str">
        <f>IF([1]All!$L506=0,"",[1]All!$L506)</f>
        <v>INSULATION SLEEVING</v>
      </c>
      <c r="M505" s="7" t="str">
        <f>IF([1]All!$AJ506=0,"",[1]All!$AJ506)</f>
        <v xml:space="preserve">CLUW </v>
      </c>
      <c r="N505" s="7" t="str">
        <f>IF([1]All!$R506=0,"",[1]All!$R506)</f>
        <v>5970</v>
      </c>
      <c r="O505" s="7" t="str">
        <f>IF([1]All!$S506=0,"",[1]All!$S506)</f>
        <v>016005875</v>
      </c>
      <c r="P505" s="7" t="str">
        <f>IF([1]All!$V506=0,"",[1]All!$V506)</f>
        <v>0000005360</v>
      </c>
      <c r="Q505" s="3" t="str">
        <f t="shared" si="47"/>
        <v>$53.60</v>
      </c>
      <c r="R505" s="8" t="str">
        <f>IF([1]All!$F506=0,"",[1]All!$F506)</f>
        <v>M81914/8-2107</v>
      </c>
    </row>
    <row r="506" spans="1:18">
      <c r="A506" s="7"/>
      <c r="B506" s="3">
        <f t="shared" si="42"/>
        <v>67</v>
      </c>
      <c r="C506" s="3" t="str">
        <f t="shared" si="43"/>
        <v>C</v>
      </c>
      <c r="D506" s="9" t="str">
        <f t="shared" si="44"/>
        <v>99-5050</v>
      </c>
      <c r="E506" s="3" t="str">
        <f t="shared" si="45"/>
        <v>CVNW  99-5050</v>
      </c>
      <c r="F506" s="10" t="str">
        <f t="shared" si="46"/>
        <v>PCCN: CRGARM:-:PLISN: CVNW :-:PCC: TIT :-: CAGE: 0N0N0:-:PART NUMBER: 99-5050:-:NOMENCLATURE: FILTER CLEANER SERV:-:PRICE: $12.60:-:UNIQUE MODS: NO:-:PROPRIETARILY MFG FOR OEM: NO:-: :-: :-: :-:NSN: 2945015120412 :-: NHA: 12574289</v>
      </c>
      <c r="G506" s="8" t="str">
        <f>IF([1]All!$B507="","",[1]All!$B507)</f>
        <v xml:space="preserve">CVNW </v>
      </c>
      <c r="H506" s="8"/>
      <c r="I506" s="8" t="str">
        <f>IF([1]All!$D507=0,"",[1]All!$D507)</f>
        <v>C</v>
      </c>
      <c r="J506" s="8" t="str">
        <f>IF([1]All!$E507=0,"",[1]All!$E507)</f>
        <v>0N0N0</v>
      </c>
      <c r="K506" s="8" t="s">
        <v>387</v>
      </c>
      <c r="L506" s="11" t="str">
        <f>IF([1]All!$L507=0,"",[1]All!$L507)</f>
        <v>FILTER CLEANER SERV</v>
      </c>
      <c r="M506" s="7" t="str">
        <f>IF([1]All!$AJ507=0,"",[1]All!$AJ507)</f>
        <v xml:space="preserve">CLUW </v>
      </c>
      <c r="N506" s="7" t="str">
        <f>IF([1]All!$R507=0,"",[1]All!$R507)</f>
        <v>2945</v>
      </c>
      <c r="O506" s="7" t="str">
        <f>IF([1]All!$S507=0,"",[1]All!$S507)</f>
        <v>015120412</v>
      </c>
      <c r="P506" s="7" t="str">
        <f>IF([1]All!$V507=0,"",[1]All!$V507)</f>
        <v>0000001260</v>
      </c>
      <c r="Q506" s="3" t="str">
        <f t="shared" si="47"/>
        <v>$12.60</v>
      </c>
      <c r="R506" s="8" t="str">
        <f>IF([1]All!$F507=0,"",[1]All!$F507)</f>
        <v>99-5050</v>
      </c>
    </row>
    <row r="507" spans="1:18">
      <c r="A507" s="7"/>
      <c r="B507" s="3">
        <f t="shared" si="42"/>
        <v>67</v>
      </c>
      <c r="C507" s="3" t="str">
        <f t="shared" si="43"/>
        <v>C</v>
      </c>
      <c r="D507" s="9" t="str">
        <f t="shared" si="44"/>
        <v>PLT4H-CO</v>
      </c>
      <c r="E507" s="3" t="str">
        <f t="shared" si="45"/>
        <v>CVUS  PLT4H-CO</v>
      </c>
      <c r="F507" s="10" t="str">
        <f t="shared" si="46"/>
        <v>PCCN: CRGARM:-:PLISN: CVUS :-:PCC: TIT :-: CAGE: 06383:-:PART NUMBER: PLT4H-CO:-:NOMENCLATURE: STRAP,TIEDOWN,ELECT:-:PRICE: $5.91:-:UNIQUE MODS: NO:-:PROPRIETARILY MFG FOR OEM: NO:-: :-: :-: :-:NSN: 5975016210999 :-: NHA: 12574289</v>
      </c>
      <c r="G507" s="8" t="str">
        <f>IF([1]All!$B508="","",[1]All!$B508)</f>
        <v xml:space="preserve">CVUS </v>
      </c>
      <c r="H507" s="8"/>
      <c r="I507" s="8" t="str">
        <f>IF([1]All!$D508=0,"",[1]All!$D508)</f>
        <v>C</v>
      </c>
      <c r="J507" s="8" t="str">
        <f>IF([1]All!$E508=0,"",[1]All!$E508)</f>
        <v>06383</v>
      </c>
      <c r="K507" s="8" t="s">
        <v>388</v>
      </c>
      <c r="L507" s="11" t="str">
        <f>IF([1]All!$L508=0,"",[1]All!$L508)</f>
        <v>STRAP,TIEDOWN,ELECT</v>
      </c>
      <c r="M507" s="7" t="str">
        <f>IF([1]All!$AJ508=0,"",[1]All!$AJ508)</f>
        <v xml:space="preserve">CLUW </v>
      </c>
      <c r="N507" s="7" t="str">
        <f>IF([1]All!$R508=0,"",[1]All!$R508)</f>
        <v>5975</v>
      </c>
      <c r="O507" s="7" t="str">
        <f>IF([1]All!$S508=0,"",[1]All!$S508)</f>
        <v>016210999</v>
      </c>
      <c r="P507" s="7" t="str">
        <f>IF([1]All!$V508=0,"",[1]All!$V508)</f>
        <v>0000000591</v>
      </c>
      <c r="Q507" s="3" t="str">
        <f t="shared" si="47"/>
        <v>$5.91</v>
      </c>
      <c r="R507" s="8" t="str">
        <f>IF([1]All!$F508=0,"",[1]All!$F508)</f>
        <v>PLT4H-CO</v>
      </c>
    </row>
    <row r="508" spans="1:18">
      <c r="A508" s="7"/>
      <c r="B508" s="3">
        <f t="shared" si="42"/>
        <v>67</v>
      </c>
      <c r="C508" s="3" t="str">
        <f t="shared" si="43"/>
        <v>C</v>
      </c>
      <c r="D508" s="9" t="str">
        <f t="shared" si="44"/>
        <v>PLT4H-TL</v>
      </c>
      <c r="E508" s="3" t="str">
        <f t="shared" si="45"/>
        <v>CV0N  PLT4H-TL</v>
      </c>
      <c r="F508" s="10" t="str">
        <f t="shared" si="46"/>
        <v>PCCN: CRGARM:-:PLISN: CV0N :-:PCC: TIT :-: CAGE: 06383:-:PART NUMBER: PLT4H-TL:-:NOMENCLATURE: STRAP,TIEDOWN,ELECT:-:PRICE: $6.76:-:UNIQUE MODS: NO:-:PROPRIETARILY MFG FOR OEM: NO:-: :-: :-: :-:NSN: 5340013531256 :-: NHA: 12574289</v>
      </c>
      <c r="G508" s="8" t="str">
        <f>IF([1]All!$B509="","",[1]All!$B509)</f>
        <v xml:space="preserve">CV0N </v>
      </c>
      <c r="H508" s="8"/>
      <c r="I508" s="8" t="str">
        <f>IF([1]All!$D509=0,"",[1]All!$D509)</f>
        <v>C</v>
      </c>
      <c r="J508" s="8" t="str">
        <f>IF([1]All!$E509=0,"",[1]All!$E509)</f>
        <v>06383</v>
      </c>
      <c r="K508" s="8" t="s">
        <v>389</v>
      </c>
      <c r="L508" s="11" t="str">
        <f>IF([1]All!$L509=0,"",[1]All!$L509)</f>
        <v>STRAP,TIEDOWN,ELECT</v>
      </c>
      <c r="M508" s="7" t="str">
        <f>IF([1]All!$AJ509=0,"",[1]All!$AJ509)</f>
        <v xml:space="preserve">CLUW </v>
      </c>
      <c r="N508" s="7" t="str">
        <f>IF([1]All!$R509=0,"",[1]All!$R509)</f>
        <v>5340</v>
      </c>
      <c r="O508" s="7" t="str">
        <f>IF([1]All!$S509=0,"",[1]All!$S509)</f>
        <v>013531256</v>
      </c>
      <c r="P508" s="7" t="str">
        <f>IF([1]All!$V509=0,"",[1]All!$V509)</f>
        <v>0000000676</v>
      </c>
      <c r="Q508" s="3" t="str">
        <f t="shared" si="47"/>
        <v>$6.76</v>
      </c>
      <c r="R508" s="8" t="str">
        <f>IF([1]All!$F509=0,"",[1]All!$F509)</f>
        <v>PLT4H-TL</v>
      </c>
    </row>
    <row r="509" spans="1:18">
      <c r="A509" s="7"/>
      <c r="B509" s="3">
        <f t="shared" si="42"/>
        <v>67</v>
      </c>
      <c r="C509" s="3" t="str">
        <f t="shared" si="43"/>
        <v>C</v>
      </c>
      <c r="D509" s="9" t="str">
        <f t="shared" si="44"/>
        <v>PLT2I-C0</v>
      </c>
      <c r="E509" s="3" t="str">
        <f t="shared" si="45"/>
        <v>CV6J  PLT2I-C0</v>
      </c>
      <c r="F509" s="10" t="str">
        <f t="shared" si="46"/>
        <v>PCCN: CRGARM:-:PLISN: CV6J :-:PCC: TIT :-: CAGE: 06383:-:PART NUMBER: PLT2I-C0:-:NOMENCLATURE: STRAP,TIEDOWN,ELECT:-:PRICE: $1.49:-:UNIQUE MODS: NO:-:PROPRIETARILY MFG FOR OEM: NO:-: :-: :-: :-:NSN: 5975011107686 :-: NHA: 12574289</v>
      </c>
      <c r="G509" s="8" t="str">
        <f>IF([1]All!$B510="","",[1]All!$B510)</f>
        <v xml:space="preserve">CV6J </v>
      </c>
      <c r="H509" s="8"/>
      <c r="I509" s="8" t="str">
        <f>IF([1]All!$D510=0,"",[1]All!$D510)</f>
        <v>C</v>
      </c>
      <c r="J509" s="8" t="str">
        <f>IF([1]All!$E510=0,"",[1]All!$E510)</f>
        <v>06383</v>
      </c>
      <c r="K509" s="8" t="s">
        <v>444</v>
      </c>
      <c r="L509" s="11" t="str">
        <f>IF([1]All!$L510=0,"",[1]All!$L510)</f>
        <v>STRAP,TIEDOWN,ELECT</v>
      </c>
      <c r="M509" s="7" t="str">
        <f>IF([1]All!$AJ510=0,"",[1]All!$AJ510)</f>
        <v xml:space="preserve">CLUW </v>
      </c>
      <c r="N509" s="7" t="str">
        <f>IF([1]All!$R510=0,"",[1]All!$R510)</f>
        <v>5975</v>
      </c>
      <c r="O509" s="7" t="str">
        <f>IF([1]All!$S510=0,"",[1]All!$S510)</f>
        <v>011107686</v>
      </c>
      <c r="P509" s="7" t="str">
        <f>IF([1]All!$V510=0,"",[1]All!$V510)</f>
        <v>0000000149</v>
      </c>
      <c r="Q509" s="3" t="str">
        <f t="shared" si="47"/>
        <v>$1.49</v>
      </c>
      <c r="R509" s="8" t="str">
        <f>IF([1]All!$F510=0,"",[1]All!$F510)</f>
        <v>PLT2I-C0</v>
      </c>
    </row>
    <row r="510" spans="1:18">
      <c r="A510" s="7"/>
      <c r="B510" s="3">
        <f t="shared" si="42"/>
        <v>67</v>
      </c>
      <c r="C510" s="3" t="str">
        <f t="shared" si="43"/>
        <v>C</v>
      </c>
      <c r="D510" s="9" t="str">
        <f t="shared" si="44"/>
        <v>COV-1717</v>
      </c>
      <c r="E510" s="3" t="str">
        <f t="shared" si="45"/>
        <v>CWCE  COV-1717</v>
      </c>
      <c r="F510" s="10" t="str">
        <f t="shared" si="46"/>
        <v>PCCN: CRGARM:-:PLISN: CWCE :-:PCC: TIT :-: CAGE: 75272:-:PART NUMBER: COV-1717:-:NOMENCLATURE: CLAMP,LOOP:-:PRICE: $0.77:-:UNIQUE MODS: NO:-:PROPRIETARILY MFG FOR OEM: NO:-: :-: :-: :-:NSN: 5340012664118 :-: NHA: 12574289</v>
      </c>
      <c r="G510" s="8" t="str">
        <f>IF([1]All!$B511="","",[1]All!$B511)</f>
        <v xml:space="preserve">CWCE </v>
      </c>
      <c r="H510" s="8"/>
      <c r="I510" s="8" t="str">
        <f>IF([1]All!$D511=0,"",[1]All!$D511)</f>
        <v>C</v>
      </c>
      <c r="J510" s="8" t="str">
        <f>IF([1]All!$E511=0,"",[1]All!$E511)</f>
        <v>75272</v>
      </c>
      <c r="K510" s="8" t="s">
        <v>390</v>
      </c>
      <c r="L510" s="11" t="str">
        <f>IF([1]All!$L511=0,"",[1]All!$L511)</f>
        <v>CLAMP,LOOP</v>
      </c>
      <c r="M510" s="7" t="str">
        <f>IF([1]All!$AJ511=0,"",[1]All!$AJ511)</f>
        <v xml:space="preserve">CLUW </v>
      </c>
      <c r="N510" s="7" t="str">
        <f>IF([1]All!$R511=0,"",[1]All!$R511)</f>
        <v>5340</v>
      </c>
      <c r="O510" s="7" t="str">
        <f>IF([1]All!$S511=0,"",[1]All!$S511)</f>
        <v>012664118</v>
      </c>
      <c r="P510" s="7" t="str">
        <f>IF([1]All!$V511=0,"",[1]All!$V511)</f>
        <v>0000000077</v>
      </c>
      <c r="Q510" s="3" t="str">
        <f t="shared" si="47"/>
        <v>$0.77</v>
      </c>
      <c r="R510" s="8" t="str">
        <f>IF([1]All!$F511=0,"",[1]All!$F511)</f>
        <v>COV-1717</v>
      </c>
    </row>
    <row r="511" spans="1:18">
      <c r="A511" s="7"/>
      <c r="B511" s="3">
        <f t="shared" si="42"/>
        <v>67</v>
      </c>
      <c r="C511" s="3" t="str">
        <f t="shared" si="43"/>
        <v>C</v>
      </c>
      <c r="D511" s="9" t="str">
        <f t="shared" si="44"/>
        <v>COV-2509</v>
      </c>
      <c r="E511" s="3" t="str">
        <f t="shared" si="45"/>
        <v>CWJA  COV-2509</v>
      </c>
      <c r="F511" s="10" t="str">
        <f t="shared" si="46"/>
        <v>PCCN: CRGARM:-:PLISN: CWJA :-:PCC: TIT :-: CAGE: 75272:-:PART NUMBER: COV-2509:-:NOMENCLATURE: CLAMP,LOOP:-:PRICE: $0.44:-:UNIQUE MODS: NO:-:PROPRIETARILY MFG FOR OEM: NO:-: :-: :-: :-:NSN: 5340011111510 :-: NHA: 12574289</v>
      </c>
      <c r="G511" s="8" t="str">
        <f>IF([1]All!$B512="","",[1]All!$B512)</f>
        <v xml:space="preserve">CWJA </v>
      </c>
      <c r="H511" s="8"/>
      <c r="I511" s="8" t="str">
        <f>IF([1]All!$D512=0,"",[1]All!$D512)</f>
        <v>C</v>
      </c>
      <c r="J511" s="8" t="str">
        <f>IF([1]All!$E512=0,"",[1]All!$E512)</f>
        <v>75272</v>
      </c>
      <c r="K511" s="8" t="s">
        <v>391</v>
      </c>
      <c r="L511" s="11" t="str">
        <f>IF([1]All!$L512=0,"",[1]All!$L512)</f>
        <v>CLAMP,LOOP</v>
      </c>
      <c r="M511" s="7" t="str">
        <f>IF([1]All!$AJ512=0,"",[1]All!$AJ512)</f>
        <v xml:space="preserve">CLUW </v>
      </c>
      <c r="N511" s="7" t="str">
        <f>IF([1]All!$R512=0,"",[1]All!$R512)</f>
        <v>5340</v>
      </c>
      <c r="O511" s="7" t="str">
        <f>IF([1]All!$S512=0,"",[1]All!$S512)</f>
        <v>011111510</v>
      </c>
      <c r="P511" s="7" t="str">
        <f>IF([1]All!$V512=0,"",[1]All!$V512)</f>
        <v>0000000044</v>
      </c>
      <c r="Q511" s="3" t="str">
        <f t="shared" si="47"/>
        <v>$0.44</v>
      </c>
      <c r="R511" s="8" t="str">
        <f>IF([1]All!$F512=0,"",[1]All!$F512)</f>
        <v>COV-2509</v>
      </c>
    </row>
    <row r="512" spans="1:18">
      <c r="A512" s="7"/>
      <c r="B512" s="3">
        <f t="shared" si="42"/>
        <v>67</v>
      </c>
      <c r="C512" s="3" t="str">
        <f t="shared" si="43"/>
        <v>C</v>
      </c>
      <c r="D512" s="9" t="str">
        <f t="shared" si="44"/>
        <v>COV-3309</v>
      </c>
      <c r="E512" s="3" t="str">
        <f t="shared" si="45"/>
        <v>CWP6  COV-3309</v>
      </c>
      <c r="F512" s="10" t="str">
        <f t="shared" si="46"/>
        <v>PCCN: CRGARM:-:PLISN: CWP6 :-:PCC: TIT :-: CAGE: 75272:-:PART NUMBER: COV-3309:-:NOMENCLATURE: CLAMP,LOOP:-:PRICE: $1.00:-:UNIQUE MODS: NO:-:PROPRIETARILY MFG FOR OEM: NO:-: :-: :-: :-: :-: NHA: 12574289</v>
      </c>
      <c r="G512" s="8" t="str">
        <f>IF([1]All!$B513="","",[1]All!$B513)</f>
        <v xml:space="preserve">CWP6 </v>
      </c>
      <c r="H512" s="8"/>
      <c r="I512" s="8" t="str">
        <f>IF([1]All!$D513=0,"",[1]All!$D513)</f>
        <v>C</v>
      </c>
      <c r="J512" s="8" t="str">
        <f>IF([1]All!$E513=0,"",[1]All!$E513)</f>
        <v>75272</v>
      </c>
      <c r="K512" s="8" t="s">
        <v>392</v>
      </c>
      <c r="L512" s="11" t="str">
        <f>IF([1]All!$L513=0,"",[1]All!$L513)</f>
        <v>CLAMP,LOOP</v>
      </c>
      <c r="M512" s="7" t="str">
        <f>IF([1]All!$AJ513=0,"",[1]All!$AJ513)</f>
        <v xml:space="preserve">CLUW </v>
      </c>
      <c r="N512" s="7" t="str">
        <f>IF([1]All!$R513=0,"",[1]All!$R513)</f>
        <v/>
      </c>
      <c r="O512" s="7" t="str">
        <f>IF([1]All!$S513=0,"",[1]All!$S513)</f>
        <v/>
      </c>
      <c r="P512" s="7" t="str">
        <f>IF([1]All!$V513=0,"",[1]All!$V513)</f>
        <v>0000000100</v>
      </c>
      <c r="Q512" s="3" t="str">
        <f t="shared" si="47"/>
        <v>$1.00</v>
      </c>
      <c r="R512" s="8" t="str">
        <f>IF([1]All!$F513=0,"",[1]All!$F513)</f>
        <v>COV-3309</v>
      </c>
    </row>
    <row r="513" spans="1:18">
      <c r="A513" s="7"/>
      <c r="B513" s="3" t="str">
        <f t="shared" si="42"/>
        <v/>
      </c>
      <c r="C513" s="3" t="str">
        <f t="shared" si="43"/>
        <v/>
      </c>
      <c r="D513" s="9" t="str">
        <f t="shared" si="44"/>
        <v/>
      </c>
      <c r="E513" s="3" t="str">
        <f t="shared" si="45"/>
        <v xml:space="preserve"> </v>
      </c>
      <c r="F513" s="10" t="e">
        <f t="shared" si="46"/>
        <v>#VALUE!</v>
      </c>
      <c r="G513" s="8" t="str">
        <f>IF([1]All!$B514="","",[1]All!$B514)</f>
        <v/>
      </c>
      <c r="H513" s="7"/>
      <c r="I513" s="8" t="str">
        <f>IF([1]All!$D514=0,"",[1]All!$D514)</f>
        <v/>
      </c>
      <c r="J513" s="8" t="str">
        <f>IF([1]All!$E514=0,"",[1]All!$E514)</f>
        <v/>
      </c>
      <c r="K513" s="8" t="s">
        <v>445</v>
      </c>
      <c r="L513" s="11" t="str">
        <f>IF([1]All!$L514=0,"",[1]All!$L514)</f>
        <v/>
      </c>
      <c r="M513" s="7" t="str">
        <f>IF([1]All!$AJ514=0,"",[1]All!$AJ514)</f>
        <v/>
      </c>
      <c r="N513" s="7" t="str">
        <f>IF([1]All!$R514=0,"",[1]All!$R514)</f>
        <v/>
      </c>
      <c r="O513" s="7" t="str">
        <f>IF([1]All!$S514=0,"",[1]All!$S514)</f>
        <v/>
      </c>
      <c r="P513" s="7" t="str">
        <f>IF([1]All!$V514=0,"",[1]All!$V514)</f>
        <v/>
      </c>
      <c r="Q513" s="3" t="e">
        <f t="shared" si="47"/>
        <v>#VALUE!</v>
      </c>
      <c r="R513" s="8" t="str">
        <f>IF([1]All!$F514=0,"",[1]All!$F514)</f>
        <v/>
      </c>
    </row>
    <row r="514" spans="1:18">
      <c r="A514" s="7"/>
      <c r="B514" s="3" t="str">
        <f t="shared" ref="B514" si="48">IF(C514="","",CODE(C514))</f>
        <v/>
      </c>
      <c r="C514" s="3" t="str">
        <f t="shared" si="43"/>
        <v/>
      </c>
      <c r="D514" s="9" t="str">
        <f t="shared" si="44"/>
        <v/>
      </c>
      <c r="E514" s="3" t="str">
        <f t="shared" si="45"/>
        <v xml:space="preserve"> </v>
      </c>
      <c r="F514" s="10" t="e">
        <f t="shared" si="46"/>
        <v>#VALUE!</v>
      </c>
      <c r="G514" s="8" t="str">
        <f>IF([1]All!$B515="","",[1]All!$B515)</f>
        <v/>
      </c>
      <c r="H514" s="7"/>
      <c r="I514" s="8" t="str">
        <f>IF([1]All!$D515=0,"",[1]All!$D515)</f>
        <v/>
      </c>
      <c r="J514" s="8" t="str">
        <f>IF([1]All!$E515=0,"",[1]All!$E515)</f>
        <v/>
      </c>
      <c r="K514" s="8" t="s">
        <v>445</v>
      </c>
      <c r="L514" s="11" t="str">
        <f>IF([1]All!$L515=0,"",[1]All!$L515)</f>
        <v/>
      </c>
      <c r="M514" s="7" t="str">
        <f>IF([1]All!$AJ515=0,"",[1]All!$AJ515)</f>
        <v/>
      </c>
      <c r="N514" s="7" t="str">
        <f>IF([1]All!$R515=0,"",[1]All!$R515)</f>
        <v/>
      </c>
      <c r="O514" s="7" t="str">
        <f>IF([1]All!$S515=0,"",[1]All!$S515)</f>
        <v/>
      </c>
      <c r="P514" s="7" t="str">
        <f>IF([1]All!$V515=0,"",[1]All!$V515)</f>
        <v/>
      </c>
      <c r="Q514" s="3" t="e">
        <f t="shared" si="47"/>
        <v>#VALUE!</v>
      </c>
      <c r="R514" s="8" t="str">
        <f>IF([1]All!$F515=0,"",[1]All!$F515)</f>
        <v/>
      </c>
    </row>
    <row r="515" spans="1:18">
      <c r="A515" s="7"/>
      <c r="B515" s="3" t="str">
        <f>IF(C515="","",CODE(C515))</f>
        <v/>
      </c>
      <c r="C515" s="3" t="str">
        <f t="shared" si="43"/>
        <v/>
      </c>
      <c r="D515" s="9" t="str">
        <f t="shared" si="44"/>
        <v/>
      </c>
      <c r="E515" s="3" t="str">
        <f t="shared" si="45"/>
        <v xml:space="preserve"> </v>
      </c>
      <c r="F515" s="10" t="e">
        <f t="shared" si="46"/>
        <v>#VALUE!</v>
      </c>
      <c r="G515" s="8" t="str">
        <f>IF([1]All!$B516="","",[1]All!$B516)</f>
        <v/>
      </c>
      <c r="H515" s="7"/>
      <c r="I515" s="8" t="str">
        <f>IF([1]All!$D516=0,"",[1]All!$D516)</f>
        <v/>
      </c>
      <c r="J515" s="8" t="str">
        <f>IF([1]All!$E516=0,"",[1]All!$E516)</f>
        <v/>
      </c>
      <c r="K515" s="8" t="s">
        <v>445</v>
      </c>
      <c r="L515" s="11" t="str">
        <f>IF([1]All!$L516=0,"",[1]All!$L516)</f>
        <v/>
      </c>
      <c r="M515" s="7" t="str">
        <f>IF([1]All!$AJ516=0,"",[1]All!$AJ516)</f>
        <v/>
      </c>
      <c r="N515" s="7" t="str">
        <f>IF([1]All!$R516=0,"",[1]All!$R516)</f>
        <v/>
      </c>
      <c r="O515" s="7" t="str">
        <f>IF([1]All!$S516=0,"",[1]All!$S516)</f>
        <v/>
      </c>
      <c r="P515" s="7" t="str">
        <f>IF([1]All!$V516=0,"",[1]All!$V516)</f>
        <v/>
      </c>
      <c r="Q515" s="3" t="e">
        <f t="shared" si="47"/>
        <v>#VALUE!</v>
      </c>
      <c r="R515" s="8" t="str">
        <f>IF([1]All!$F516=0,"",[1]All!$F516)</f>
        <v/>
      </c>
    </row>
    <row r="516" spans="1:18">
      <c r="A516" s="7"/>
      <c r="B516" s="3" t="str">
        <f t="shared" ref="B516:B579" si="49">IF(C516="","",CODE(C516))</f>
        <v/>
      </c>
      <c r="C516" s="3" t="str">
        <f t="shared" ref="C516:C579" si="50">I516</f>
        <v/>
      </c>
      <c r="D516" s="9" t="str">
        <f t="shared" ref="D516:D579" si="51">K516</f>
        <v/>
      </c>
      <c r="E516" s="3" t="str">
        <f t="shared" ref="E516:E579" si="52">G516&amp;" "&amp;D516</f>
        <v xml:space="preserve"> </v>
      </c>
      <c r="F516" s="10" t="e">
        <f t="shared" si="46"/>
        <v>#VALUE!</v>
      </c>
      <c r="G516" s="8" t="str">
        <f>IF([1]All!$B517="","",[1]All!$B517)</f>
        <v/>
      </c>
      <c r="H516" s="7"/>
      <c r="I516" s="8" t="str">
        <f>IF([1]All!$D517=0,"",[1]All!$D517)</f>
        <v/>
      </c>
      <c r="J516" s="8" t="str">
        <f>IF([1]All!$E517=0,"",[1]All!$E517)</f>
        <v/>
      </c>
      <c r="K516" s="8" t="s">
        <v>445</v>
      </c>
      <c r="L516" s="11" t="str">
        <f>IF([1]All!$L517=0,"",[1]All!$L517)</f>
        <v/>
      </c>
      <c r="M516" s="7" t="str">
        <f>IF([1]All!$AJ517=0,"",[1]All!$AJ517)</f>
        <v/>
      </c>
      <c r="N516" s="7" t="str">
        <f>IF([1]All!$R517=0,"",[1]All!$R517)</f>
        <v/>
      </c>
      <c r="O516" s="7" t="str">
        <f>IF([1]All!$S517=0,"",[1]All!$S517)</f>
        <v/>
      </c>
      <c r="P516" s="7" t="str">
        <f>IF([1]All!$V517=0,"",[1]All!$V517)</f>
        <v/>
      </c>
      <c r="Q516" s="3" t="e">
        <f t="shared" ref="Q516:Q579" si="53">IF(ISERROR(FIND(".",P516*0.01)),"$"&amp;P516*0.01&amp;".00",IF(FIND(".",P516*0.01)&lt;LEN(P516*0.01)-1,"$"&amp;P516*0.01,"$"&amp;P516*0.01&amp;"0"))</f>
        <v>#VALUE!</v>
      </c>
      <c r="R516" s="8" t="str">
        <f>IF([1]All!$F517=0,"",[1]All!$F517)</f>
        <v/>
      </c>
    </row>
    <row r="517" spans="1:18">
      <c r="A517" s="7"/>
      <c r="B517" s="3" t="str">
        <f t="shared" si="49"/>
        <v/>
      </c>
      <c r="C517" s="3" t="str">
        <f t="shared" si="50"/>
        <v/>
      </c>
      <c r="D517" s="9" t="str">
        <f t="shared" si="51"/>
        <v/>
      </c>
      <c r="E517" s="3" t="str">
        <f t="shared" si="52"/>
        <v xml:space="preserve"> </v>
      </c>
      <c r="F517" s="10" t="e">
        <f t="shared" ref="F517:F580" si="54">$A$2&amp;":-:"&amp;"PLISN: "&amp;$G517&amp;":-:"&amp;$A$4&amp;" :-: "&amp;"CAGE: "&amp;J517&amp;":-:"&amp;"PART NUMBER: " &amp; R517&amp;":-:NOMENCLATURE: "&amp;L517&amp;":-:PRICE: " &amp; Q517&amp;":-:"&amp;$A$9&amp;":-:"&amp;$A$10&amp;":-: :-: :-: :-:"&amp;IF(N517="","","NSN: "&amp;N517&amp;O517)&amp;IF(M517="",""," :-: NHA: "&amp;VLOOKUP(M517,G$2:L$65000,5,FALSE)&amp;IF(VLOOKUP(M517,G$2:O$65000,8,FALSE)="",""," :-: NHA NSN: "&amp;VLOOKUP(M517,G$2:O$65000,8,FALSE)&amp;VLOOKUP(M517,G$2:O$65000,9,FALSE)))</f>
        <v>#VALUE!</v>
      </c>
      <c r="G517" s="8" t="str">
        <f>IF([1]All!$B518="","",[1]All!$B518)</f>
        <v/>
      </c>
      <c r="H517" s="7"/>
      <c r="I517" s="8" t="str">
        <f>IF([1]All!$D518=0,"",[1]All!$D518)</f>
        <v/>
      </c>
      <c r="J517" s="8" t="str">
        <f>IF([1]All!$E518=0,"",[1]All!$E518)</f>
        <v/>
      </c>
      <c r="K517" s="8" t="s">
        <v>445</v>
      </c>
      <c r="L517" s="11" t="str">
        <f>IF([1]All!$L518=0,"",[1]All!$L518)</f>
        <v/>
      </c>
      <c r="M517" s="7" t="str">
        <f>IF([1]All!$AJ518=0,"",[1]All!$AJ518)</f>
        <v/>
      </c>
      <c r="N517" s="7" t="str">
        <f>IF([1]All!$R518=0,"",[1]All!$R518)</f>
        <v/>
      </c>
      <c r="O517" s="7" t="str">
        <f>IF([1]All!$S518=0,"",[1]All!$S518)</f>
        <v/>
      </c>
      <c r="P517" s="7" t="str">
        <f>IF([1]All!$V518=0,"",[1]All!$V518)</f>
        <v/>
      </c>
      <c r="Q517" s="3" t="e">
        <f t="shared" si="53"/>
        <v>#VALUE!</v>
      </c>
      <c r="R517" s="8" t="str">
        <f>IF([1]All!$F518=0,"",[1]All!$F518)</f>
        <v/>
      </c>
    </row>
    <row r="518" spans="1:18">
      <c r="A518" s="7"/>
      <c r="B518" s="3" t="str">
        <f t="shared" si="49"/>
        <v/>
      </c>
      <c r="C518" s="3" t="str">
        <f t="shared" si="50"/>
        <v/>
      </c>
      <c r="D518" s="9" t="str">
        <f t="shared" si="51"/>
        <v/>
      </c>
      <c r="E518" s="3" t="str">
        <f t="shared" si="52"/>
        <v xml:space="preserve"> </v>
      </c>
      <c r="F518" s="10" t="e">
        <f t="shared" si="54"/>
        <v>#VALUE!</v>
      </c>
      <c r="G518" s="8" t="str">
        <f>IF([1]All!$B519="","",[1]All!$B519)</f>
        <v/>
      </c>
      <c r="H518" s="7"/>
      <c r="I518" s="8" t="str">
        <f>IF([1]All!$D519=0,"",[1]All!$D519)</f>
        <v/>
      </c>
      <c r="J518" s="8" t="str">
        <f>IF([1]All!$E519=0,"",[1]All!$E519)</f>
        <v/>
      </c>
      <c r="K518" s="8" t="s">
        <v>445</v>
      </c>
      <c r="L518" s="11" t="str">
        <f>IF([1]All!$L519=0,"",[1]All!$L519)</f>
        <v/>
      </c>
      <c r="M518" s="7" t="str">
        <f>IF([1]All!$AJ519=0,"",[1]All!$AJ519)</f>
        <v/>
      </c>
      <c r="N518" s="7" t="str">
        <f>IF([1]All!$R519=0,"",[1]All!$R519)</f>
        <v/>
      </c>
      <c r="O518" s="7" t="str">
        <f>IF([1]All!$S519=0,"",[1]All!$S519)</f>
        <v/>
      </c>
      <c r="P518" s="7" t="str">
        <f>IF([1]All!$V519=0,"",[1]All!$V519)</f>
        <v/>
      </c>
      <c r="Q518" s="3" t="e">
        <f t="shared" si="53"/>
        <v>#VALUE!</v>
      </c>
      <c r="R518" s="8" t="str">
        <f>IF([1]All!$F519=0,"",[1]All!$F519)</f>
        <v/>
      </c>
    </row>
    <row r="519" spans="1:18">
      <c r="A519" s="7"/>
      <c r="B519" s="3" t="str">
        <f t="shared" si="49"/>
        <v/>
      </c>
      <c r="C519" s="3" t="str">
        <f t="shared" si="50"/>
        <v/>
      </c>
      <c r="D519" s="9" t="str">
        <f t="shared" si="51"/>
        <v/>
      </c>
      <c r="E519" s="3" t="str">
        <f t="shared" si="52"/>
        <v xml:space="preserve"> </v>
      </c>
      <c r="F519" s="10" t="e">
        <f t="shared" si="54"/>
        <v>#VALUE!</v>
      </c>
      <c r="G519" s="8" t="str">
        <f>IF([1]All!$B520="","",[1]All!$B520)</f>
        <v/>
      </c>
      <c r="H519" s="7"/>
      <c r="I519" s="8" t="str">
        <f>IF([1]All!$D520=0,"",[1]All!$D520)</f>
        <v/>
      </c>
      <c r="J519" s="8" t="str">
        <f>IF([1]All!$E520=0,"",[1]All!$E520)</f>
        <v/>
      </c>
      <c r="K519" s="8" t="s">
        <v>445</v>
      </c>
      <c r="L519" s="11" t="str">
        <f>IF([1]All!$L520=0,"",[1]All!$L520)</f>
        <v/>
      </c>
      <c r="M519" s="7" t="str">
        <f>IF([1]All!$AJ520=0,"",[1]All!$AJ520)</f>
        <v/>
      </c>
      <c r="N519" s="7" t="str">
        <f>IF([1]All!$R520=0,"",[1]All!$R520)</f>
        <v/>
      </c>
      <c r="O519" s="7" t="str">
        <f>IF([1]All!$S520=0,"",[1]All!$S520)</f>
        <v/>
      </c>
      <c r="P519" s="7" t="str">
        <f>IF([1]All!$V520=0,"",[1]All!$V520)</f>
        <v/>
      </c>
      <c r="Q519" s="3" t="e">
        <f t="shared" si="53"/>
        <v>#VALUE!</v>
      </c>
      <c r="R519" s="8" t="str">
        <f>IF([1]All!$F520=0,"",[1]All!$F520)</f>
        <v/>
      </c>
    </row>
    <row r="520" spans="1:18">
      <c r="A520" s="7"/>
      <c r="B520" s="3" t="str">
        <f t="shared" si="49"/>
        <v/>
      </c>
      <c r="C520" s="3" t="str">
        <f t="shared" si="50"/>
        <v/>
      </c>
      <c r="D520" s="9" t="str">
        <f t="shared" si="51"/>
        <v/>
      </c>
      <c r="E520" s="3" t="str">
        <f t="shared" si="52"/>
        <v xml:space="preserve"> </v>
      </c>
      <c r="F520" s="10" t="e">
        <f t="shared" si="54"/>
        <v>#VALUE!</v>
      </c>
      <c r="G520" s="8" t="str">
        <f>IF([1]All!$B521="","",[1]All!$B521)</f>
        <v/>
      </c>
      <c r="H520" s="7"/>
      <c r="I520" s="8" t="str">
        <f>IF([1]All!$D521=0,"",[1]All!$D521)</f>
        <v/>
      </c>
      <c r="J520" s="8" t="str">
        <f>IF([1]All!$E521=0,"",[1]All!$E521)</f>
        <v/>
      </c>
      <c r="K520" s="8" t="s">
        <v>445</v>
      </c>
      <c r="L520" s="11" t="str">
        <f>IF([1]All!$L521=0,"",[1]All!$L521)</f>
        <v/>
      </c>
      <c r="M520" s="7" t="str">
        <f>IF([1]All!$AJ521=0,"",[1]All!$AJ521)</f>
        <v/>
      </c>
      <c r="N520" s="7" t="str">
        <f>IF([1]All!$R521=0,"",[1]All!$R521)</f>
        <v/>
      </c>
      <c r="O520" s="7" t="str">
        <f>IF([1]All!$S521=0,"",[1]All!$S521)</f>
        <v/>
      </c>
      <c r="P520" s="7" t="str">
        <f>IF([1]All!$V521=0,"",[1]All!$V521)</f>
        <v/>
      </c>
      <c r="Q520" s="3" t="e">
        <f t="shared" si="53"/>
        <v>#VALUE!</v>
      </c>
      <c r="R520" s="8" t="str">
        <f>IF([1]All!$F521=0,"",[1]All!$F521)</f>
        <v/>
      </c>
    </row>
    <row r="521" spans="1:18">
      <c r="A521" s="7"/>
      <c r="B521" s="3" t="str">
        <f t="shared" si="49"/>
        <v/>
      </c>
      <c r="C521" s="3" t="str">
        <f t="shared" si="50"/>
        <v/>
      </c>
      <c r="D521" s="9" t="str">
        <f t="shared" si="51"/>
        <v/>
      </c>
      <c r="E521" s="3" t="str">
        <f t="shared" si="52"/>
        <v xml:space="preserve"> </v>
      </c>
      <c r="F521" s="10" t="e">
        <f t="shared" si="54"/>
        <v>#VALUE!</v>
      </c>
      <c r="G521" s="8" t="str">
        <f>IF([1]All!$B522="","",[1]All!$B522)</f>
        <v/>
      </c>
      <c r="H521" s="7"/>
      <c r="I521" s="8" t="str">
        <f>IF([1]All!$D522=0,"",[1]All!$D522)</f>
        <v/>
      </c>
      <c r="J521" s="8" t="str">
        <f>IF([1]All!$E522=0,"",[1]All!$E522)</f>
        <v/>
      </c>
      <c r="K521" s="8" t="s">
        <v>445</v>
      </c>
      <c r="L521" s="11" t="str">
        <f>IF([1]All!$L522=0,"",[1]All!$L522)</f>
        <v/>
      </c>
      <c r="M521" s="7" t="str">
        <f>IF([1]All!$AJ522=0,"",[1]All!$AJ522)</f>
        <v/>
      </c>
      <c r="N521" s="7" t="str">
        <f>IF([1]All!$R522=0,"",[1]All!$R522)</f>
        <v/>
      </c>
      <c r="O521" s="7" t="str">
        <f>IF([1]All!$S522=0,"",[1]All!$S522)</f>
        <v/>
      </c>
      <c r="P521" s="7" t="str">
        <f>IF([1]All!$V522=0,"",[1]All!$V522)</f>
        <v/>
      </c>
      <c r="Q521" s="3" t="e">
        <f t="shared" si="53"/>
        <v>#VALUE!</v>
      </c>
      <c r="R521" s="8" t="str">
        <f>IF([1]All!$F522=0,"",[1]All!$F522)</f>
        <v/>
      </c>
    </row>
    <row r="522" spans="1:18">
      <c r="A522" s="7"/>
      <c r="B522" s="3" t="str">
        <f t="shared" si="49"/>
        <v/>
      </c>
      <c r="C522" s="3" t="str">
        <f t="shared" si="50"/>
        <v/>
      </c>
      <c r="D522" s="9" t="str">
        <f t="shared" si="51"/>
        <v/>
      </c>
      <c r="E522" s="3" t="str">
        <f t="shared" si="52"/>
        <v xml:space="preserve"> </v>
      </c>
      <c r="F522" s="10" t="e">
        <f t="shared" si="54"/>
        <v>#VALUE!</v>
      </c>
      <c r="G522" s="8" t="str">
        <f>IF([1]All!$B523="","",[1]All!$B523)</f>
        <v/>
      </c>
      <c r="H522" s="7"/>
      <c r="I522" s="8" t="str">
        <f>IF([1]All!$D523=0,"",[1]All!$D523)</f>
        <v/>
      </c>
      <c r="J522" s="8" t="str">
        <f>IF([1]All!$E523=0,"",[1]All!$E523)</f>
        <v/>
      </c>
      <c r="K522" s="8" t="s">
        <v>445</v>
      </c>
      <c r="L522" s="11" t="str">
        <f>IF([1]All!$L523=0,"",[1]All!$L523)</f>
        <v/>
      </c>
      <c r="M522" s="7" t="str">
        <f>IF([1]All!$AJ523=0,"",[1]All!$AJ523)</f>
        <v/>
      </c>
      <c r="N522" s="7" t="str">
        <f>IF([1]All!$R523=0,"",[1]All!$R523)</f>
        <v/>
      </c>
      <c r="O522" s="7" t="str">
        <f>IF([1]All!$S523=0,"",[1]All!$S523)</f>
        <v/>
      </c>
      <c r="P522" s="7" t="str">
        <f>IF([1]All!$V523=0,"",[1]All!$V523)</f>
        <v/>
      </c>
      <c r="Q522" s="3" t="e">
        <f t="shared" si="53"/>
        <v>#VALUE!</v>
      </c>
      <c r="R522" s="8" t="str">
        <f>IF([1]All!$F523=0,"",[1]All!$F523)</f>
        <v/>
      </c>
    </row>
    <row r="523" spans="1:18">
      <c r="A523" s="7"/>
      <c r="B523" s="3" t="str">
        <f t="shared" si="49"/>
        <v/>
      </c>
      <c r="C523" s="3" t="str">
        <f t="shared" si="50"/>
        <v/>
      </c>
      <c r="D523" s="9" t="str">
        <f t="shared" si="51"/>
        <v/>
      </c>
      <c r="E523" s="3" t="str">
        <f t="shared" si="52"/>
        <v xml:space="preserve"> </v>
      </c>
      <c r="F523" s="10" t="e">
        <f t="shared" si="54"/>
        <v>#VALUE!</v>
      </c>
      <c r="G523" s="8" t="str">
        <f>IF([1]All!$B524="","",[1]All!$B524)</f>
        <v/>
      </c>
      <c r="H523" s="7"/>
      <c r="I523" s="8" t="str">
        <f>IF([1]All!$D524=0,"",[1]All!$D524)</f>
        <v/>
      </c>
      <c r="J523" s="8" t="str">
        <f>IF([1]All!$E524=0,"",[1]All!$E524)</f>
        <v/>
      </c>
      <c r="K523" s="8" t="s">
        <v>445</v>
      </c>
      <c r="L523" s="11" t="str">
        <f>IF([1]All!$L524=0,"",[1]All!$L524)</f>
        <v/>
      </c>
      <c r="M523" s="7" t="str">
        <f>IF([1]All!$AJ524=0,"",[1]All!$AJ524)</f>
        <v/>
      </c>
      <c r="N523" s="7" t="str">
        <f>IF([1]All!$R524=0,"",[1]All!$R524)</f>
        <v/>
      </c>
      <c r="O523" s="7" t="str">
        <f>IF([1]All!$S524=0,"",[1]All!$S524)</f>
        <v/>
      </c>
      <c r="P523" s="7" t="str">
        <f>IF([1]All!$V524=0,"",[1]All!$V524)</f>
        <v/>
      </c>
      <c r="Q523" s="3" t="e">
        <f t="shared" si="53"/>
        <v>#VALUE!</v>
      </c>
      <c r="R523" s="8" t="str">
        <f>IF([1]All!$F524=0,"",[1]All!$F524)</f>
        <v/>
      </c>
    </row>
    <row r="524" spans="1:18">
      <c r="A524" s="7"/>
      <c r="B524" s="3" t="str">
        <f t="shared" si="49"/>
        <v/>
      </c>
      <c r="C524" s="3" t="str">
        <f t="shared" si="50"/>
        <v/>
      </c>
      <c r="D524" s="9" t="str">
        <f t="shared" si="51"/>
        <v/>
      </c>
      <c r="E524" s="3" t="str">
        <f t="shared" si="52"/>
        <v xml:space="preserve"> </v>
      </c>
      <c r="F524" s="10" t="e">
        <f t="shared" si="54"/>
        <v>#VALUE!</v>
      </c>
      <c r="G524" s="8" t="str">
        <f>IF([1]All!$B525="","",[1]All!$B525)</f>
        <v/>
      </c>
      <c r="H524" s="7"/>
      <c r="I524" s="8" t="str">
        <f>IF([1]All!$D525=0,"",[1]All!$D525)</f>
        <v/>
      </c>
      <c r="J524" s="8" t="str">
        <f>IF([1]All!$E525=0,"",[1]All!$E525)</f>
        <v/>
      </c>
      <c r="K524" s="8" t="s">
        <v>445</v>
      </c>
      <c r="L524" s="11" t="str">
        <f>IF([1]All!$L525=0,"",[1]All!$L525)</f>
        <v/>
      </c>
      <c r="M524" s="7" t="str">
        <f>IF([1]All!$AJ525=0,"",[1]All!$AJ525)</f>
        <v/>
      </c>
      <c r="N524" s="7" t="str">
        <f>IF([1]All!$R525=0,"",[1]All!$R525)</f>
        <v/>
      </c>
      <c r="O524" s="7" t="str">
        <f>IF([1]All!$S525=0,"",[1]All!$S525)</f>
        <v/>
      </c>
      <c r="P524" s="7" t="str">
        <f>IF([1]All!$V525=0,"",[1]All!$V525)</f>
        <v/>
      </c>
      <c r="Q524" s="3" t="e">
        <f t="shared" si="53"/>
        <v>#VALUE!</v>
      </c>
      <c r="R524" s="8" t="str">
        <f>IF([1]All!$F525=0,"",[1]All!$F525)</f>
        <v/>
      </c>
    </row>
    <row r="525" spans="1:18">
      <c r="A525" s="7"/>
      <c r="B525" s="3" t="str">
        <f t="shared" si="49"/>
        <v/>
      </c>
      <c r="C525" s="3" t="str">
        <f t="shared" si="50"/>
        <v/>
      </c>
      <c r="D525" s="9" t="str">
        <f t="shared" si="51"/>
        <v/>
      </c>
      <c r="E525" s="3" t="str">
        <f t="shared" si="52"/>
        <v xml:space="preserve"> </v>
      </c>
      <c r="F525" s="10" t="e">
        <f t="shared" si="54"/>
        <v>#VALUE!</v>
      </c>
      <c r="G525" s="8" t="str">
        <f>IF([1]All!$B526="","",[1]All!$B526)</f>
        <v/>
      </c>
      <c r="H525" s="7"/>
      <c r="I525" s="8" t="str">
        <f>IF([1]All!$D526=0,"",[1]All!$D526)</f>
        <v/>
      </c>
      <c r="J525" s="8" t="str">
        <f>IF([1]All!$E526=0,"",[1]All!$E526)</f>
        <v/>
      </c>
      <c r="K525" s="8" t="s">
        <v>445</v>
      </c>
      <c r="L525" s="11" t="str">
        <f>IF([1]All!$L526=0,"",[1]All!$L526)</f>
        <v/>
      </c>
      <c r="M525" s="7" t="str">
        <f>IF([1]All!$AJ526=0,"",[1]All!$AJ526)</f>
        <v/>
      </c>
      <c r="N525" s="7" t="str">
        <f>IF([1]All!$R526=0,"",[1]All!$R526)</f>
        <v/>
      </c>
      <c r="O525" s="7" t="str">
        <f>IF([1]All!$S526=0,"",[1]All!$S526)</f>
        <v/>
      </c>
      <c r="P525" s="7" t="str">
        <f>IF([1]All!$V526=0,"",[1]All!$V526)</f>
        <v/>
      </c>
      <c r="Q525" s="3" t="e">
        <f t="shared" si="53"/>
        <v>#VALUE!</v>
      </c>
      <c r="R525" s="8" t="str">
        <f>IF([1]All!$F526=0,"",[1]All!$F526)</f>
        <v/>
      </c>
    </row>
    <row r="526" spans="1:18">
      <c r="A526" s="7"/>
      <c r="B526" s="3" t="str">
        <f t="shared" si="49"/>
        <v/>
      </c>
      <c r="C526" s="3" t="str">
        <f t="shared" si="50"/>
        <v/>
      </c>
      <c r="D526" s="9" t="str">
        <f t="shared" si="51"/>
        <v/>
      </c>
      <c r="E526" s="3" t="str">
        <f t="shared" si="52"/>
        <v xml:space="preserve"> </v>
      </c>
      <c r="F526" s="10" t="e">
        <f t="shared" si="54"/>
        <v>#VALUE!</v>
      </c>
      <c r="G526" s="8" t="str">
        <f>IF([1]All!$B527="","",[1]All!$B527)</f>
        <v/>
      </c>
      <c r="H526" s="7"/>
      <c r="I526" s="8" t="str">
        <f>IF([1]All!$D527=0,"",[1]All!$D527)</f>
        <v/>
      </c>
      <c r="J526" s="8" t="str">
        <f>IF([1]All!$E527=0,"",[1]All!$E527)</f>
        <v/>
      </c>
      <c r="K526" s="8" t="s">
        <v>445</v>
      </c>
      <c r="L526" s="11" t="str">
        <f>IF([1]All!$L527=0,"",[1]All!$L527)</f>
        <v/>
      </c>
      <c r="M526" s="7" t="str">
        <f>IF([1]All!$AJ527=0,"",[1]All!$AJ527)</f>
        <v/>
      </c>
      <c r="N526" s="7" t="str">
        <f>IF([1]All!$R527=0,"",[1]All!$R527)</f>
        <v/>
      </c>
      <c r="O526" s="7" t="str">
        <f>IF([1]All!$S527=0,"",[1]All!$S527)</f>
        <v/>
      </c>
      <c r="P526" s="7" t="str">
        <f>IF([1]All!$V527=0,"",[1]All!$V527)</f>
        <v/>
      </c>
      <c r="Q526" s="3" t="e">
        <f t="shared" si="53"/>
        <v>#VALUE!</v>
      </c>
      <c r="R526" s="8" t="str">
        <f>IF([1]All!$F527=0,"",[1]All!$F527)</f>
        <v/>
      </c>
    </row>
    <row r="527" spans="1:18">
      <c r="A527" s="7"/>
      <c r="B527" s="3" t="str">
        <f t="shared" si="49"/>
        <v/>
      </c>
      <c r="C527" s="3" t="str">
        <f t="shared" si="50"/>
        <v/>
      </c>
      <c r="D527" s="9" t="str">
        <f t="shared" si="51"/>
        <v/>
      </c>
      <c r="E527" s="3" t="str">
        <f t="shared" si="52"/>
        <v xml:space="preserve"> </v>
      </c>
      <c r="F527" s="10" t="e">
        <f t="shared" si="54"/>
        <v>#VALUE!</v>
      </c>
      <c r="G527" s="8" t="str">
        <f>IF([1]All!$B528="","",[1]All!$B528)</f>
        <v/>
      </c>
      <c r="H527" s="7"/>
      <c r="I527" s="8" t="str">
        <f>IF([1]All!$D528=0,"",[1]All!$D528)</f>
        <v/>
      </c>
      <c r="J527" s="8" t="str">
        <f>IF([1]All!$E528=0,"",[1]All!$E528)</f>
        <v/>
      </c>
      <c r="K527" s="8" t="s">
        <v>445</v>
      </c>
      <c r="L527" s="11" t="str">
        <f>IF([1]All!$L528=0,"",[1]All!$L528)</f>
        <v/>
      </c>
      <c r="M527" s="7" t="str">
        <f>IF([1]All!$AJ528=0,"",[1]All!$AJ528)</f>
        <v/>
      </c>
      <c r="N527" s="7" t="str">
        <f>IF([1]All!$R528=0,"",[1]All!$R528)</f>
        <v/>
      </c>
      <c r="O527" s="7" t="str">
        <f>IF([1]All!$S528=0,"",[1]All!$S528)</f>
        <v/>
      </c>
      <c r="P527" s="7" t="str">
        <f>IF([1]All!$V528=0,"",[1]All!$V528)</f>
        <v/>
      </c>
      <c r="Q527" s="3" t="e">
        <f t="shared" si="53"/>
        <v>#VALUE!</v>
      </c>
      <c r="R527" s="8" t="str">
        <f>IF([1]All!$F528=0,"",[1]All!$F528)</f>
        <v/>
      </c>
    </row>
    <row r="528" spans="1:18">
      <c r="A528" s="7"/>
      <c r="B528" s="3" t="str">
        <f t="shared" si="49"/>
        <v/>
      </c>
      <c r="C528" s="3" t="str">
        <f t="shared" si="50"/>
        <v/>
      </c>
      <c r="D528" s="9" t="str">
        <f t="shared" si="51"/>
        <v/>
      </c>
      <c r="E528" s="3" t="str">
        <f t="shared" si="52"/>
        <v xml:space="preserve"> </v>
      </c>
      <c r="F528" s="10" t="e">
        <f t="shared" si="54"/>
        <v>#VALUE!</v>
      </c>
      <c r="G528" s="8" t="str">
        <f>IF([1]All!$B529="","",[1]All!$B529)</f>
        <v/>
      </c>
      <c r="H528" s="7"/>
      <c r="I528" s="8" t="str">
        <f>IF([1]All!$D529=0,"",[1]All!$D529)</f>
        <v/>
      </c>
      <c r="J528" s="8" t="str">
        <f>IF([1]All!$E529=0,"",[1]All!$E529)</f>
        <v/>
      </c>
      <c r="K528" s="8" t="s">
        <v>445</v>
      </c>
      <c r="L528" s="11" t="str">
        <f>IF([1]All!$L529=0,"",[1]All!$L529)</f>
        <v/>
      </c>
      <c r="M528" s="7" t="str">
        <f>IF([1]All!$AJ529=0,"",[1]All!$AJ529)</f>
        <v/>
      </c>
      <c r="N528" s="7" t="str">
        <f>IF([1]All!$R529=0,"",[1]All!$R529)</f>
        <v/>
      </c>
      <c r="O528" s="7" t="str">
        <f>IF([1]All!$S529=0,"",[1]All!$S529)</f>
        <v/>
      </c>
      <c r="P528" s="7" t="str">
        <f>IF([1]All!$V529=0,"",[1]All!$V529)</f>
        <v/>
      </c>
      <c r="Q528" s="3" t="e">
        <f t="shared" si="53"/>
        <v>#VALUE!</v>
      </c>
      <c r="R528" s="8" t="str">
        <f>IF([1]All!$F529=0,"",[1]All!$F529)</f>
        <v/>
      </c>
    </row>
    <row r="529" spans="1:18">
      <c r="A529" s="7"/>
      <c r="B529" s="3" t="str">
        <f t="shared" si="49"/>
        <v/>
      </c>
      <c r="C529" s="3" t="str">
        <f t="shared" si="50"/>
        <v/>
      </c>
      <c r="D529" s="9" t="str">
        <f t="shared" si="51"/>
        <v/>
      </c>
      <c r="E529" s="3" t="str">
        <f t="shared" si="52"/>
        <v xml:space="preserve"> </v>
      </c>
      <c r="F529" s="10" t="e">
        <f t="shared" si="54"/>
        <v>#VALUE!</v>
      </c>
      <c r="G529" s="8" t="str">
        <f>IF([1]All!$B530="","",[1]All!$B530)</f>
        <v/>
      </c>
      <c r="H529" s="7"/>
      <c r="I529" s="8" t="str">
        <f>IF([1]All!$D530=0,"",[1]All!$D530)</f>
        <v/>
      </c>
      <c r="J529" s="8" t="str">
        <f>IF([1]All!$E530=0,"",[1]All!$E530)</f>
        <v/>
      </c>
      <c r="K529" s="8" t="s">
        <v>445</v>
      </c>
      <c r="L529" s="11" t="str">
        <f>IF([1]All!$L530=0,"",[1]All!$L530)</f>
        <v/>
      </c>
      <c r="M529" s="7" t="str">
        <f>IF([1]All!$AJ530=0,"",[1]All!$AJ530)</f>
        <v/>
      </c>
      <c r="N529" s="7" t="str">
        <f>IF([1]All!$R530=0,"",[1]All!$R530)</f>
        <v/>
      </c>
      <c r="O529" s="7" t="str">
        <f>IF([1]All!$S530=0,"",[1]All!$S530)</f>
        <v/>
      </c>
      <c r="P529" s="7" t="str">
        <f>IF([1]All!$V530=0,"",[1]All!$V530)</f>
        <v/>
      </c>
      <c r="Q529" s="3" t="e">
        <f t="shared" si="53"/>
        <v>#VALUE!</v>
      </c>
      <c r="R529" s="8" t="str">
        <f>IF([1]All!$F530=0,"",[1]All!$F530)</f>
        <v/>
      </c>
    </row>
    <row r="530" spans="1:18">
      <c r="A530" s="7"/>
      <c r="B530" s="3" t="str">
        <f t="shared" si="49"/>
        <v/>
      </c>
      <c r="C530" s="3" t="str">
        <f t="shared" si="50"/>
        <v/>
      </c>
      <c r="D530" s="9" t="str">
        <f t="shared" si="51"/>
        <v/>
      </c>
      <c r="E530" s="3" t="str">
        <f t="shared" si="52"/>
        <v xml:space="preserve"> </v>
      </c>
      <c r="F530" s="10" t="e">
        <f t="shared" si="54"/>
        <v>#VALUE!</v>
      </c>
      <c r="G530" s="8" t="str">
        <f>IF([1]All!$B531="","",[1]All!$B531)</f>
        <v/>
      </c>
      <c r="H530" s="7"/>
      <c r="I530" s="8" t="str">
        <f>IF([1]All!$D531=0,"",[1]All!$D531)</f>
        <v/>
      </c>
      <c r="J530" s="8" t="str">
        <f>IF([1]All!$E531=0,"",[1]All!$E531)</f>
        <v/>
      </c>
      <c r="K530" s="8" t="s">
        <v>445</v>
      </c>
      <c r="L530" s="11" t="str">
        <f>IF([1]All!$L531=0,"",[1]All!$L531)</f>
        <v/>
      </c>
      <c r="M530" s="7" t="str">
        <f>IF([1]All!$AJ531=0,"",[1]All!$AJ531)</f>
        <v/>
      </c>
      <c r="N530" s="7" t="str">
        <f>IF([1]All!$R531=0,"",[1]All!$R531)</f>
        <v/>
      </c>
      <c r="O530" s="7" t="str">
        <f>IF([1]All!$S531=0,"",[1]All!$S531)</f>
        <v/>
      </c>
      <c r="P530" s="7" t="str">
        <f>IF([1]All!$V531=0,"",[1]All!$V531)</f>
        <v/>
      </c>
      <c r="Q530" s="3" t="e">
        <f t="shared" si="53"/>
        <v>#VALUE!</v>
      </c>
      <c r="R530" s="8" t="str">
        <f>IF([1]All!$F531=0,"",[1]All!$F531)</f>
        <v/>
      </c>
    </row>
    <row r="531" spans="1:18">
      <c r="A531" s="7"/>
      <c r="B531" s="3" t="str">
        <f t="shared" si="49"/>
        <v/>
      </c>
      <c r="C531" s="3" t="str">
        <f t="shared" si="50"/>
        <v/>
      </c>
      <c r="D531" s="9" t="str">
        <f t="shared" si="51"/>
        <v/>
      </c>
      <c r="E531" s="3" t="str">
        <f t="shared" si="52"/>
        <v xml:space="preserve"> </v>
      </c>
      <c r="F531" s="10" t="e">
        <f t="shared" si="54"/>
        <v>#VALUE!</v>
      </c>
      <c r="G531" s="8" t="str">
        <f>IF([1]All!$B532="","",[1]All!$B532)</f>
        <v/>
      </c>
      <c r="H531" s="7"/>
      <c r="I531" s="8" t="str">
        <f>IF([1]All!$D532=0,"",[1]All!$D532)</f>
        <v/>
      </c>
      <c r="J531" s="8" t="str">
        <f>IF([1]All!$E532=0,"",[1]All!$E532)</f>
        <v/>
      </c>
      <c r="K531" s="8" t="s">
        <v>445</v>
      </c>
      <c r="L531" s="11" t="str">
        <f>IF([1]All!$L532=0,"",[1]All!$L532)</f>
        <v/>
      </c>
      <c r="M531" s="7" t="str">
        <f>IF([1]All!$AJ532=0,"",[1]All!$AJ532)</f>
        <v/>
      </c>
      <c r="N531" s="7" t="str">
        <f>IF([1]All!$R532=0,"",[1]All!$R532)</f>
        <v/>
      </c>
      <c r="O531" s="7" t="str">
        <f>IF([1]All!$S532=0,"",[1]All!$S532)</f>
        <v/>
      </c>
      <c r="P531" s="7" t="str">
        <f>IF([1]All!$V532=0,"",[1]All!$V532)</f>
        <v/>
      </c>
      <c r="Q531" s="3" t="e">
        <f t="shared" si="53"/>
        <v>#VALUE!</v>
      </c>
      <c r="R531" s="8" t="str">
        <f>IF([1]All!$F532=0,"",[1]All!$F532)</f>
        <v/>
      </c>
    </row>
    <row r="532" spans="1:18">
      <c r="A532" s="7"/>
      <c r="B532" s="3" t="str">
        <f t="shared" si="49"/>
        <v/>
      </c>
      <c r="C532" s="3" t="str">
        <f t="shared" si="50"/>
        <v/>
      </c>
      <c r="D532" s="9" t="str">
        <f t="shared" si="51"/>
        <v/>
      </c>
      <c r="E532" s="3" t="str">
        <f t="shared" si="52"/>
        <v xml:space="preserve"> </v>
      </c>
      <c r="F532" s="10" t="e">
        <f t="shared" si="54"/>
        <v>#VALUE!</v>
      </c>
      <c r="G532" s="8" t="str">
        <f>IF([1]All!$B533="","",[1]All!$B533)</f>
        <v/>
      </c>
      <c r="H532" s="7"/>
      <c r="I532" s="8" t="str">
        <f>IF([1]All!$D533=0,"",[1]All!$D533)</f>
        <v/>
      </c>
      <c r="J532" s="8" t="str">
        <f>IF([1]All!$E533=0,"",[1]All!$E533)</f>
        <v/>
      </c>
      <c r="K532" s="8" t="s">
        <v>445</v>
      </c>
      <c r="L532" s="11" t="str">
        <f>IF([1]All!$L533=0,"",[1]All!$L533)</f>
        <v/>
      </c>
      <c r="M532" s="7" t="str">
        <f>IF([1]All!$AJ533=0,"",[1]All!$AJ533)</f>
        <v/>
      </c>
      <c r="N532" s="7" t="str">
        <f>IF([1]All!$R533=0,"",[1]All!$R533)</f>
        <v/>
      </c>
      <c r="O532" s="7" t="str">
        <f>IF([1]All!$S533=0,"",[1]All!$S533)</f>
        <v/>
      </c>
      <c r="P532" s="7" t="str">
        <f>IF([1]All!$V533=0,"",[1]All!$V533)</f>
        <v/>
      </c>
      <c r="Q532" s="3" t="e">
        <f t="shared" si="53"/>
        <v>#VALUE!</v>
      </c>
      <c r="R532" s="8" t="str">
        <f>IF([1]All!$F533=0,"",[1]All!$F533)</f>
        <v/>
      </c>
    </row>
    <row r="533" spans="1:18">
      <c r="A533" s="7"/>
      <c r="B533" s="3" t="str">
        <f t="shared" si="49"/>
        <v/>
      </c>
      <c r="C533" s="3" t="str">
        <f t="shared" si="50"/>
        <v/>
      </c>
      <c r="D533" s="9" t="str">
        <f t="shared" si="51"/>
        <v/>
      </c>
      <c r="E533" s="3" t="str">
        <f t="shared" si="52"/>
        <v xml:space="preserve"> </v>
      </c>
      <c r="F533" s="10" t="e">
        <f t="shared" si="54"/>
        <v>#VALUE!</v>
      </c>
      <c r="G533" s="8" t="str">
        <f>IF([1]All!$B534="","",[1]All!$B534)</f>
        <v/>
      </c>
      <c r="H533" s="7"/>
      <c r="I533" s="8" t="str">
        <f>IF([1]All!$D534=0,"",[1]All!$D534)</f>
        <v/>
      </c>
      <c r="J533" s="8" t="str">
        <f>IF([1]All!$E534=0,"",[1]All!$E534)</f>
        <v/>
      </c>
      <c r="K533" s="8" t="s">
        <v>445</v>
      </c>
      <c r="L533" s="11" t="str">
        <f>IF([1]All!$L534=0,"",[1]All!$L534)</f>
        <v/>
      </c>
      <c r="M533" s="7" t="str">
        <f>IF([1]All!$AJ534=0,"",[1]All!$AJ534)</f>
        <v/>
      </c>
      <c r="N533" s="7" t="str">
        <f>IF([1]All!$R534=0,"",[1]All!$R534)</f>
        <v/>
      </c>
      <c r="O533" s="7" t="str">
        <f>IF([1]All!$S534=0,"",[1]All!$S534)</f>
        <v/>
      </c>
      <c r="P533" s="7" t="str">
        <f>IF([1]All!$V534=0,"",[1]All!$V534)</f>
        <v/>
      </c>
      <c r="Q533" s="3" t="e">
        <f t="shared" si="53"/>
        <v>#VALUE!</v>
      </c>
      <c r="R533" s="8" t="str">
        <f>IF([1]All!$F534=0,"",[1]All!$F534)</f>
        <v/>
      </c>
    </row>
    <row r="534" spans="1:18">
      <c r="A534" s="7"/>
      <c r="B534" s="3" t="str">
        <f t="shared" si="49"/>
        <v/>
      </c>
      <c r="C534" s="3" t="str">
        <f t="shared" si="50"/>
        <v/>
      </c>
      <c r="D534" s="9" t="str">
        <f t="shared" si="51"/>
        <v/>
      </c>
      <c r="E534" s="3" t="str">
        <f t="shared" si="52"/>
        <v xml:space="preserve"> </v>
      </c>
      <c r="F534" s="10" t="e">
        <f t="shared" si="54"/>
        <v>#VALUE!</v>
      </c>
      <c r="G534" s="8" t="str">
        <f>IF([1]All!$B535="","",[1]All!$B535)</f>
        <v/>
      </c>
      <c r="H534" s="7"/>
      <c r="I534" s="8" t="str">
        <f>IF([1]All!$D535=0,"",[1]All!$D535)</f>
        <v/>
      </c>
      <c r="J534" s="8" t="str">
        <f>IF([1]All!$E535=0,"",[1]All!$E535)</f>
        <v/>
      </c>
      <c r="K534" s="8" t="s">
        <v>445</v>
      </c>
      <c r="L534" s="11" t="str">
        <f>IF([1]All!$L535=0,"",[1]All!$L535)</f>
        <v/>
      </c>
      <c r="M534" s="7" t="str">
        <f>IF([1]All!$AJ535=0,"",[1]All!$AJ535)</f>
        <v/>
      </c>
      <c r="N534" s="7" t="str">
        <f>IF([1]All!$R535=0,"",[1]All!$R535)</f>
        <v/>
      </c>
      <c r="O534" s="7" t="str">
        <f>IF([1]All!$S535=0,"",[1]All!$S535)</f>
        <v/>
      </c>
      <c r="P534" s="7" t="str">
        <f>IF([1]All!$V535=0,"",[1]All!$V535)</f>
        <v/>
      </c>
      <c r="Q534" s="3" t="e">
        <f t="shared" si="53"/>
        <v>#VALUE!</v>
      </c>
      <c r="R534" s="8" t="str">
        <f>IF([1]All!$F535=0,"",[1]All!$F535)</f>
        <v/>
      </c>
    </row>
    <row r="535" spans="1:18">
      <c r="A535" s="7"/>
      <c r="B535" s="3" t="str">
        <f t="shared" si="49"/>
        <v/>
      </c>
      <c r="C535" s="3" t="str">
        <f t="shared" si="50"/>
        <v/>
      </c>
      <c r="D535" s="9" t="str">
        <f t="shared" si="51"/>
        <v/>
      </c>
      <c r="E535" s="3" t="str">
        <f t="shared" si="52"/>
        <v xml:space="preserve"> </v>
      </c>
      <c r="F535" s="10" t="e">
        <f t="shared" si="54"/>
        <v>#VALUE!</v>
      </c>
      <c r="G535" s="8" t="str">
        <f>IF([1]All!$B536="","",[1]All!$B536)</f>
        <v/>
      </c>
      <c r="H535" s="7"/>
      <c r="I535" s="8" t="str">
        <f>IF([1]All!$D536=0,"",[1]All!$D536)</f>
        <v/>
      </c>
      <c r="J535" s="8" t="str">
        <f>IF([1]All!$E536=0,"",[1]All!$E536)</f>
        <v/>
      </c>
      <c r="K535" s="8" t="s">
        <v>445</v>
      </c>
      <c r="L535" s="11" t="str">
        <f>IF([1]All!$L536=0,"",[1]All!$L536)</f>
        <v/>
      </c>
      <c r="M535" s="7" t="str">
        <f>IF([1]All!$AJ536=0,"",[1]All!$AJ536)</f>
        <v/>
      </c>
      <c r="N535" s="7" t="str">
        <f>IF([1]All!$R536=0,"",[1]All!$R536)</f>
        <v/>
      </c>
      <c r="O535" s="7" t="str">
        <f>IF([1]All!$S536=0,"",[1]All!$S536)</f>
        <v/>
      </c>
      <c r="P535" s="7" t="str">
        <f>IF([1]All!$V536=0,"",[1]All!$V536)</f>
        <v/>
      </c>
      <c r="Q535" s="3" t="e">
        <f t="shared" si="53"/>
        <v>#VALUE!</v>
      </c>
      <c r="R535" s="8" t="str">
        <f>IF([1]All!$F536=0,"",[1]All!$F536)</f>
        <v/>
      </c>
    </row>
    <row r="536" spans="1:18">
      <c r="A536" s="7"/>
      <c r="B536" s="3" t="str">
        <f t="shared" si="49"/>
        <v/>
      </c>
      <c r="C536" s="3" t="str">
        <f t="shared" si="50"/>
        <v/>
      </c>
      <c r="D536" s="9" t="str">
        <f t="shared" si="51"/>
        <v/>
      </c>
      <c r="E536" s="3" t="str">
        <f t="shared" si="52"/>
        <v xml:space="preserve"> </v>
      </c>
      <c r="F536" s="10" t="e">
        <f t="shared" si="54"/>
        <v>#VALUE!</v>
      </c>
      <c r="G536" s="8" t="str">
        <f>IF([1]All!$B537="","",[1]All!$B537)</f>
        <v/>
      </c>
      <c r="H536" s="7"/>
      <c r="I536" s="8" t="str">
        <f>IF([1]All!$D537=0,"",[1]All!$D537)</f>
        <v/>
      </c>
      <c r="J536" s="8" t="str">
        <f>IF([1]All!$E537=0,"",[1]All!$E537)</f>
        <v/>
      </c>
      <c r="K536" s="8" t="s">
        <v>445</v>
      </c>
      <c r="L536" s="11" t="str">
        <f>IF([1]All!$L537=0,"",[1]All!$L537)</f>
        <v/>
      </c>
      <c r="M536" s="7" t="str">
        <f>IF([1]All!$AJ537=0,"",[1]All!$AJ537)</f>
        <v/>
      </c>
      <c r="N536" s="7" t="str">
        <f>IF([1]All!$R537=0,"",[1]All!$R537)</f>
        <v/>
      </c>
      <c r="O536" s="7" t="str">
        <f>IF([1]All!$S537=0,"",[1]All!$S537)</f>
        <v/>
      </c>
      <c r="P536" s="7" t="str">
        <f>IF([1]All!$V537=0,"",[1]All!$V537)</f>
        <v/>
      </c>
      <c r="Q536" s="3" t="e">
        <f t="shared" si="53"/>
        <v>#VALUE!</v>
      </c>
      <c r="R536" s="8" t="str">
        <f>IF([1]All!$F537=0,"",[1]All!$F537)</f>
        <v/>
      </c>
    </row>
    <row r="537" spans="1:18">
      <c r="A537" s="7"/>
      <c r="B537" s="3" t="str">
        <f t="shared" si="49"/>
        <v/>
      </c>
      <c r="C537" s="3" t="str">
        <f t="shared" si="50"/>
        <v/>
      </c>
      <c r="D537" s="9" t="str">
        <f t="shared" si="51"/>
        <v/>
      </c>
      <c r="E537" s="3" t="str">
        <f t="shared" si="52"/>
        <v xml:space="preserve"> </v>
      </c>
      <c r="F537" s="10" t="e">
        <f t="shared" si="54"/>
        <v>#VALUE!</v>
      </c>
      <c r="G537" s="8" t="str">
        <f>IF([1]All!$B538="","",[1]All!$B538)</f>
        <v/>
      </c>
      <c r="H537" s="7"/>
      <c r="I537" s="8" t="str">
        <f>IF([1]All!$D538=0,"",[1]All!$D538)</f>
        <v/>
      </c>
      <c r="J537" s="8" t="str">
        <f>IF([1]All!$E538=0,"",[1]All!$E538)</f>
        <v/>
      </c>
      <c r="K537" s="8" t="s">
        <v>445</v>
      </c>
      <c r="L537" s="11" t="str">
        <f>IF([1]All!$L538=0,"",[1]All!$L538)</f>
        <v/>
      </c>
      <c r="M537" s="7" t="str">
        <f>IF([1]All!$AJ538=0,"",[1]All!$AJ538)</f>
        <v/>
      </c>
      <c r="N537" s="7" t="str">
        <f>IF([1]All!$R538=0,"",[1]All!$R538)</f>
        <v/>
      </c>
      <c r="O537" s="7" t="str">
        <f>IF([1]All!$S538=0,"",[1]All!$S538)</f>
        <v/>
      </c>
      <c r="P537" s="7" t="str">
        <f>IF([1]All!$V538=0,"",[1]All!$V538)</f>
        <v/>
      </c>
      <c r="Q537" s="3" t="e">
        <f t="shared" si="53"/>
        <v>#VALUE!</v>
      </c>
      <c r="R537" s="8" t="str">
        <f>IF([1]All!$F538=0,"",[1]All!$F538)</f>
        <v/>
      </c>
    </row>
    <row r="538" spans="1:18">
      <c r="A538" s="7"/>
      <c r="B538" s="3" t="str">
        <f t="shared" si="49"/>
        <v/>
      </c>
      <c r="C538" s="3" t="str">
        <f t="shared" si="50"/>
        <v/>
      </c>
      <c r="D538" s="9" t="str">
        <f t="shared" si="51"/>
        <v/>
      </c>
      <c r="E538" s="3" t="str">
        <f t="shared" si="52"/>
        <v xml:space="preserve"> </v>
      </c>
      <c r="F538" s="10" t="e">
        <f t="shared" si="54"/>
        <v>#VALUE!</v>
      </c>
      <c r="G538" s="8" t="str">
        <f>IF([1]All!$B539="","",[1]All!$B539)</f>
        <v/>
      </c>
      <c r="H538" s="7"/>
      <c r="I538" s="8" t="str">
        <f>IF([1]All!$D539=0,"",[1]All!$D539)</f>
        <v/>
      </c>
      <c r="J538" s="8" t="str">
        <f>IF([1]All!$E539=0,"",[1]All!$E539)</f>
        <v/>
      </c>
      <c r="K538" s="8" t="s">
        <v>445</v>
      </c>
      <c r="L538" s="11" t="str">
        <f>IF([1]All!$L539=0,"",[1]All!$L539)</f>
        <v/>
      </c>
      <c r="M538" s="7" t="str">
        <f>IF([1]All!$AJ539=0,"",[1]All!$AJ539)</f>
        <v/>
      </c>
      <c r="N538" s="7" t="str">
        <f>IF([1]All!$R539=0,"",[1]All!$R539)</f>
        <v/>
      </c>
      <c r="O538" s="7" t="str">
        <f>IF([1]All!$S539=0,"",[1]All!$S539)</f>
        <v/>
      </c>
      <c r="P538" s="7" t="str">
        <f>IF([1]All!$V539=0,"",[1]All!$V539)</f>
        <v/>
      </c>
      <c r="Q538" s="3" t="e">
        <f t="shared" si="53"/>
        <v>#VALUE!</v>
      </c>
      <c r="R538" s="8" t="str">
        <f>IF([1]All!$F539=0,"",[1]All!$F539)</f>
        <v/>
      </c>
    </row>
    <row r="539" spans="1:18">
      <c r="A539" s="7"/>
      <c r="B539" s="3" t="str">
        <f t="shared" si="49"/>
        <v/>
      </c>
      <c r="C539" s="3" t="str">
        <f t="shared" si="50"/>
        <v/>
      </c>
      <c r="D539" s="9" t="str">
        <f t="shared" si="51"/>
        <v/>
      </c>
      <c r="E539" s="3" t="str">
        <f t="shared" si="52"/>
        <v xml:space="preserve"> </v>
      </c>
      <c r="F539" s="10" t="e">
        <f t="shared" si="54"/>
        <v>#VALUE!</v>
      </c>
      <c r="G539" s="8" t="str">
        <f>IF([1]All!$B540="","",[1]All!$B540)</f>
        <v/>
      </c>
      <c r="H539" s="7"/>
      <c r="I539" s="8" t="str">
        <f>IF([1]All!$D540=0,"",[1]All!$D540)</f>
        <v/>
      </c>
      <c r="J539" s="8" t="str">
        <f>IF([1]All!$E540=0,"",[1]All!$E540)</f>
        <v/>
      </c>
      <c r="K539" s="8" t="s">
        <v>445</v>
      </c>
      <c r="L539" s="11" t="str">
        <f>IF([1]All!$L540=0,"",[1]All!$L540)</f>
        <v/>
      </c>
      <c r="M539" s="7" t="str">
        <f>IF([1]All!$AJ540=0,"",[1]All!$AJ540)</f>
        <v/>
      </c>
      <c r="N539" s="7" t="str">
        <f>IF([1]All!$R540=0,"",[1]All!$R540)</f>
        <v/>
      </c>
      <c r="O539" s="7" t="str">
        <f>IF([1]All!$S540=0,"",[1]All!$S540)</f>
        <v/>
      </c>
      <c r="P539" s="7" t="str">
        <f>IF([1]All!$V540=0,"",[1]All!$V540)</f>
        <v/>
      </c>
      <c r="Q539" s="3" t="e">
        <f t="shared" si="53"/>
        <v>#VALUE!</v>
      </c>
      <c r="R539" s="8" t="str">
        <f>IF([1]All!$F540=0,"",[1]All!$F540)</f>
        <v/>
      </c>
    </row>
    <row r="540" spans="1:18">
      <c r="A540" s="7"/>
      <c r="B540" s="3" t="str">
        <f t="shared" si="49"/>
        <v/>
      </c>
      <c r="C540" s="3" t="str">
        <f t="shared" si="50"/>
        <v/>
      </c>
      <c r="D540" s="9" t="str">
        <f t="shared" si="51"/>
        <v/>
      </c>
      <c r="E540" s="3" t="str">
        <f t="shared" si="52"/>
        <v xml:space="preserve"> </v>
      </c>
      <c r="F540" s="10" t="e">
        <f t="shared" si="54"/>
        <v>#VALUE!</v>
      </c>
      <c r="G540" s="8" t="str">
        <f>IF([1]All!$B541="","",[1]All!$B541)</f>
        <v/>
      </c>
      <c r="H540" s="7"/>
      <c r="I540" s="8" t="str">
        <f>IF([1]All!$D541=0,"",[1]All!$D541)</f>
        <v/>
      </c>
      <c r="J540" s="8" t="str">
        <f>IF([1]All!$E541=0,"",[1]All!$E541)</f>
        <v/>
      </c>
      <c r="K540" s="8" t="s">
        <v>445</v>
      </c>
      <c r="L540" s="11" t="str">
        <f>IF([1]All!$L541=0,"",[1]All!$L541)</f>
        <v/>
      </c>
      <c r="M540" s="7" t="str">
        <f>IF([1]All!$AJ541=0,"",[1]All!$AJ541)</f>
        <v/>
      </c>
      <c r="N540" s="7" t="str">
        <f>IF([1]All!$R541=0,"",[1]All!$R541)</f>
        <v/>
      </c>
      <c r="O540" s="7" t="str">
        <f>IF([1]All!$S541=0,"",[1]All!$S541)</f>
        <v/>
      </c>
      <c r="P540" s="7" t="str">
        <f>IF([1]All!$V541=0,"",[1]All!$V541)</f>
        <v/>
      </c>
      <c r="Q540" s="3" t="e">
        <f t="shared" si="53"/>
        <v>#VALUE!</v>
      </c>
      <c r="R540" s="8" t="str">
        <f>IF([1]All!$F541=0,"",[1]All!$F541)</f>
        <v/>
      </c>
    </row>
    <row r="541" spans="1:18">
      <c r="A541" s="7"/>
      <c r="B541" s="3" t="str">
        <f t="shared" si="49"/>
        <v/>
      </c>
      <c r="C541" s="3" t="str">
        <f t="shared" si="50"/>
        <v/>
      </c>
      <c r="D541" s="9" t="str">
        <f t="shared" si="51"/>
        <v/>
      </c>
      <c r="E541" s="3" t="str">
        <f t="shared" si="52"/>
        <v xml:space="preserve"> </v>
      </c>
      <c r="F541" s="10" t="e">
        <f t="shared" si="54"/>
        <v>#VALUE!</v>
      </c>
      <c r="G541" s="8" t="str">
        <f>IF([1]All!$B542="","",[1]All!$B542)</f>
        <v/>
      </c>
      <c r="H541" s="7"/>
      <c r="I541" s="8" t="str">
        <f>IF([1]All!$D542=0,"",[1]All!$D542)</f>
        <v/>
      </c>
      <c r="J541" s="8" t="str">
        <f>IF([1]All!$E542=0,"",[1]All!$E542)</f>
        <v/>
      </c>
      <c r="K541" s="8" t="s">
        <v>445</v>
      </c>
      <c r="L541" s="11" t="str">
        <f>IF([1]All!$L542=0,"",[1]All!$L542)</f>
        <v/>
      </c>
      <c r="M541" s="7" t="str">
        <f>IF([1]All!$AJ542=0,"",[1]All!$AJ542)</f>
        <v/>
      </c>
      <c r="N541" s="7" t="str">
        <f>IF([1]All!$R542=0,"",[1]All!$R542)</f>
        <v/>
      </c>
      <c r="O541" s="7" t="str">
        <f>IF([1]All!$S542=0,"",[1]All!$S542)</f>
        <v/>
      </c>
      <c r="P541" s="7" t="str">
        <f>IF([1]All!$V542=0,"",[1]All!$V542)</f>
        <v/>
      </c>
      <c r="Q541" s="3" t="e">
        <f t="shared" si="53"/>
        <v>#VALUE!</v>
      </c>
      <c r="R541" s="8" t="str">
        <f>IF([1]All!$F542=0,"",[1]All!$F542)</f>
        <v/>
      </c>
    </row>
    <row r="542" spans="1:18">
      <c r="A542" s="7"/>
      <c r="B542" s="3" t="str">
        <f t="shared" si="49"/>
        <v/>
      </c>
      <c r="C542" s="3" t="str">
        <f t="shared" si="50"/>
        <v/>
      </c>
      <c r="D542" s="9" t="str">
        <f t="shared" si="51"/>
        <v/>
      </c>
      <c r="E542" s="3" t="str">
        <f t="shared" si="52"/>
        <v xml:space="preserve"> </v>
      </c>
      <c r="F542" s="10" t="e">
        <f t="shared" si="54"/>
        <v>#VALUE!</v>
      </c>
      <c r="G542" s="8" t="str">
        <f>IF([1]All!$B543="","",[1]All!$B543)</f>
        <v/>
      </c>
      <c r="H542" s="7"/>
      <c r="I542" s="8" t="str">
        <f>IF([1]All!$D543=0,"",[1]All!$D543)</f>
        <v/>
      </c>
      <c r="J542" s="8" t="str">
        <f>IF([1]All!$E543=0,"",[1]All!$E543)</f>
        <v/>
      </c>
      <c r="K542" s="8" t="s">
        <v>445</v>
      </c>
      <c r="L542" s="11" t="str">
        <f>IF([1]All!$L543=0,"",[1]All!$L543)</f>
        <v/>
      </c>
      <c r="M542" s="7" t="str">
        <f>IF([1]All!$AJ543=0,"",[1]All!$AJ543)</f>
        <v/>
      </c>
      <c r="N542" s="7" t="str">
        <f>IF([1]All!$R543=0,"",[1]All!$R543)</f>
        <v/>
      </c>
      <c r="O542" s="7" t="str">
        <f>IF([1]All!$S543=0,"",[1]All!$S543)</f>
        <v/>
      </c>
      <c r="P542" s="7" t="str">
        <f>IF([1]All!$V543=0,"",[1]All!$V543)</f>
        <v/>
      </c>
      <c r="Q542" s="3" t="e">
        <f t="shared" si="53"/>
        <v>#VALUE!</v>
      </c>
      <c r="R542" s="8" t="str">
        <f>IF([1]All!$F543=0,"",[1]All!$F543)</f>
        <v/>
      </c>
    </row>
    <row r="543" spans="1:18">
      <c r="A543" s="7"/>
      <c r="B543" s="3" t="str">
        <f t="shared" si="49"/>
        <v/>
      </c>
      <c r="C543" s="3" t="str">
        <f t="shared" si="50"/>
        <v/>
      </c>
      <c r="D543" s="9" t="str">
        <f t="shared" si="51"/>
        <v/>
      </c>
      <c r="E543" s="3" t="str">
        <f t="shared" si="52"/>
        <v xml:space="preserve"> </v>
      </c>
      <c r="F543" s="10" t="e">
        <f t="shared" si="54"/>
        <v>#VALUE!</v>
      </c>
      <c r="G543" s="8" t="str">
        <f>IF([1]All!$B544="","",[1]All!$B544)</f>
        <v/>
      </c>
      <c r="H543" s="7"/>
      <c r="I543" s="8" t="str">
        <f>IF([1]All!$D544=0,"",[1]All!$D544)</f>
        <v/>
      </c>
      <c r="J543" s="8" t="str">
        <f>IF([1]All!$E544=0,"",[1]All!$E544)</f>
        <v/>
      </c>
      <c r="K543" s="8" t="s">
        <v>445</v>
      </c>
      <c r="L543" s="11" t="str">
        <f>IF([1]All!$L544=0,"",[1]All!$L544)</f>
        <v/>
      </c>
      <c r="M543" s="7" t="str">
        <f>IF([1]All!$AJ544=0,"",[1]All!$AJ544)</f>
        <v/>
      </c>
      <c r="N543" s="7" t="str">
        <f>IF([1]All!$R544=0,"",[1]All!$R544)</f>
        <v/>
      </c>
      <c r="O543" s="7" t="str">
        <f>IF([1]All!$S544=0,"",[1]All!$S544)</f>
        <v/>
      </c>
      <c r="P543" s="7" t="str">
        <f>IF([1]All!$V544=0,"",[1]All!$V544)</f>
        <v/>
      </c>
      <c r="Q543" s="3" t="e">
        <f t="shared" si="53"/>
        <v>#VALUE!</v>
      </c>
      <c r="R543" s="8" t="str">
        <f>IF([1]All!$F544=0,"",[1]All!$F544)</f>
        <v/>
      </c>
    </row>
    <row r="544" spans="1:18">
      <c r="A544" s="7"/>
      <c r="B544" s="3" t="str">
        <f t="shared" si="49"/>
        <v/>
      </c>
      <c r="C544" s="3" t="str">
        <f t="shared" si="50"/>
        <v/>
      </c>
      <c r="D544" s="9" t="str">
        <f t="shared" si="51"/>
        <v/>
      </c>
      <c r="E544" s="3" t="str">
        <f t="shared" si="52"/>
        <v xml:space="preserve"> </v>
      </c>
      <c r="F544" s="10" t="e">
        <f t="shared" si="54"/>
        <v>#VALUE!</v>
      </c>
      <c r="G544" s="8" t="str">
        <f>IF([1]All!$B545="","",[1]All!$B545)</f>
        <v/>
      </c>
      <c r="H544" s="7"/>
      <c r="I544" s="8" t="str">
        <f>IF([1]All!$D545=0,"",[1]All!$D545)</f>
        <v/>
      </c>
      <c r="J544" s="8" t="str">
        <f>IF([1]All!$E545=0,"",[1]All!$E545)</f>
        <v/>
      </c>
      <c r="K544" s="8" t="s">
        <v>445</v>
      </c>
      <c r="L544" s="11" t="str">
        <f>IF([1]All!$L545=0,"",[1]All!$L545)</f>
        <v/>
      </c>
      <c r="M544" s="7" t="str">
        <f>IF([1]All!$AJ545=0,"",[1]All!$AJ545)</f>
        <v/>
      </c>
      <c r="N544" s="7" t="str">
        <f>IF([1]All!$R545=0,"",[1]All!$R545)</f>
        <v/>
      </c>
      <c r="O544" s="7" t="str">
        <f>IF([1]All!$S545=0,"",[1]All!$S545)</f>
        <v/>
      </c>
      <c r="P544" s="7" t="str">
        <f>IF([1]All!$V545=0,"",[1]All!$V545)</f>
        <v/>
      </c>
      <c r="Q544" s="3" t="e">
        <f t="shared" si="53"/>
        <v>#VALUE!</v>
      </c>
      <c r="R544" s="8" t="str">
        <f>IF([1]All!$F545=0,"",[1]All!$F545)</f>
        <v/>
      </c>
    </row>
    <row r="545" spans="1:18">
      <c r="A545" s="7"/>
      <c r="B545" s="3" t="str">
        <f t="shared" si="49"/>
        <v/>
      </c>
      <c r="C545" s="3" t="str">
        <f t="shared" si="50"/>
        <v/>
      </c>
      <c r="D545" s="9" t="str">
        <f t="shared" si="51"/>
        <v/>
      </c>
      <c r="E545" s="3" t="str">
        <f t="shared" si="52"/>
        <v xml:space="preserve"> </v>
      </c>
      <c r="F545" s="10" t="e">
        <f t="shared" si="54"/>
        <v>#VALUE!</v>
      </c>
      <c r="G545" s="8" t="str">
        <f>IF([1]All!$B546="","",[1]All!$B546)</f>
        <v/>
      </c>
      <c r="H545" s="7"/>
      <c r="I545" s="8" t="str">
        <f>IF([1]All!$D546=0,"",[1]All!$D546)</f>
        <v/>
      </c>
      <c r="J545" s="8" t="str">
        <f>IF([1]All!$E546=0,"",[1]All!$E546)</f>
        <v/>
      </c>
      <c r="K545" s="8" t="s">
        <v>445</v>
      </c>
      <c r="L545" s="11" t="str">
        <f>IF([1]All!$L546=0,"",[1]All!$L546)</f>
        <v/>
      </c>
      <c r="M545" s="7" t="str">
        <f>IF([1]All!$AJ546=0,"",[1]All!$AJ546)</f>
        <v/>
      </c>
      <c r="N545" s="7" t="str">
        <f>IF([1]All!$R546=0,"",[1]All!$R546)</f>
        <v/>
      </c>
      <c r="O545" s="7" t="str">
        <f>IF([1]All!$S546=0,"",[1]All!$S546)</f>
        <v/>
      </c>
      <c r="P545" s="7" t="str">
        <f>IF([1]All!$V546=0,"",[1]All!$V546)</f>
        <v/>
      </c>
      <c r="Q545" s="3" t="e">
        <f t="shared" si="53"/>
        <v>#VALUE!</v>
      </c>
      <c r="R545" s="8" t="str">
        <f>IF([1]All!$F546=0,"",[1]All!$F546)</f>
        <v/>
      </c>
    </row>
    <row r="546" spans="1:18">
      <c r="A546" s="7"/>
      <c r="B546" s="3" t="str">
        <f t="shared" si="49"/>
        <v/>
      </c>
      <c r="C546" s="3" t="str">
        <f t="shared" si="50"/>
        <v/>
      </c>
      <c r="D546" s="9" t="str">
        <f t="shared" si="51"/>
        <v/>
      </c>
      <c r="E546" s="3" t="str">
        <f t="shared" si="52"/>
        <v xml:space="preserve"> </v>
      </c>
      <c r="F546" s="10" t="e">
        <f t="shared" si="54"/>
        <v>#VALUE!</v>
      </c>
      <c r="G546" s="8" t="str">
        <f>IF([1]All!$B547="","",[1]All!$B547)</f>
        <v/>
      </c>
      <c r="H546" s="7"/>
      <c r="I546" s="8" t="str">
        <f>IF([1]All!$D547=0,"",[1]All!$D547)</f>
        <v/>
      </c>
      <c r="J546" s="8" t="str">
        <f>IF([1]All!$E547=0,"",[1]All!$E547)</f>
        <v/>
      </c>
      <c r="K546" s="8" t="s">
        <v>445</v>
      </c>
      <c r="L546" s="11" t="str">
        <f>IF([1]All!$L547=0,"",[1]All!$L547)</f>
        <v/>
      </c>
      <c r="M546" s="7" t="str">
        <f>IF([1]All!$AJ547=0,"",[1]All!$AJ547)</f>
        <v/>
      </c>
      <c r="N546" s="7" t="str">
        <f>IF([1]All!$R547=0,"",[1]All!$R547)</f>
        <v/>
      </c>
      <c r="O546" s="7" t="str">
        <f>IF([1]All!$S547=0,"",[1]All!$S547)</f>
        <v/>
      </c>
      <c r="P546" s="7" t="str">
        <f>IF([1]All!$V547=0,"",[1]All!$V547)</f>
        <v/>
      </c>
      <c r="Q546" s="3" t="e">
        <f t="shared" si="53"/>
        <v>#VALUE!</v>
      </c>
      <c r="R546" s="8" t="str">
        <f>IF([1]All!$F547=0,"",[1]All!$F547)</f>
        <v/>
      </c>
    </row>
    <row r="547" spans="1:18">
      <c r="A547" s="7"/>
      <c r="B547" s="3" t="str">
        <f t="shared" si="49"/>
        <v/>
      </c>
      <c r="C547" s="3" t="str">
        <f t="shared" si="50"/>
        <v/>
      </c>
      <c r="D547" s="9" t="str">
        <f t="shared" si="51"/>
        <v/>
      </c>
      <c r="E547" s="3" t="str">
        <f t="shared" si="52"/>
        <v xml:space="preserve"> </v>
      </c>
      <c r="F547" s="10" t="e">
        <f t="shared" si="54"/>
        <v>#VALUE!</v>
      </c>
      <c r="G547" s="8" t="str">
        <f>IF([1]All!$B548="","",[1]All!$B548)</f>
        <v/>
      </c>
      <c r="H547" s="7"/>
      <c r="I547" s="8" t="str">
        <f>IF([1]All!$D548=0,"",[1]All!$D548)</f>
        <v/>
      </c>
      <c r="J547" s="8" t="str">
        <f>IF([1]All!$E548=0,"",[1]All!$E548)</f>
        <v/>
      </c>
      <c r="K547" s="8" t="s">
        <v>445</v>
      </c>
      <c r="L547" s="11" t="str">
        <f>IF([1]All!$L548=0,"",[1]All!$L548)</f>
        <v/>
      </c>
      <c r="M547" s="7" t="str">
        <f>IF([1]All!$AJ548=0,"",[1]All!$AJ548)</f>
        <v/>
      </c>
      <c r="N547" s="7" t="str">
        <f>IF([1]All!$R548=0,"",[1]All!$R548)</f>
        <v/>
      </c>
      <c r="O547" s="7" t="str">
        <f>IF([1]All!$S548=0,"",[1]All!$S548)</f>
        <v/>
      </c>
      <c r="P547" s="7" t="str">
        <f>IF([1]All!$V548=0,"",[1]All!$V548)</f>
        <v/>
      </c>
      <c r="Q547" s="3" t="e">
        <f t="shared" si="53"/>
        <v>#VALUE!</v>
      </c>
      <c r="R547" s="8" t="str">
        <f>IF([1]All!$F548=0,"",[1]All!$F548)</f>
        <v/>
      </c>
    </row>
    <row r="548" spans="1:18">
      <c r="A548" s="7"/>
      <c r="B548" s="3" t="str">
        <f t="shared" si="49"/>
        <v/>
      </c>
      <c r="C548" s="3" t="str">
        <f t="shared" si="50"/>
        <v/>
      </c>
      <c r="D548" s="9" t="str">
        <f t="shared" si="51"/>
        <v/>
      </c>
      <c r="E548" s="3" t="str">
        <f t="shared" si="52"/>
        <v xml:space="preserve"> </v>
      </c>
      <c r="F548" s="10" t="e">
        <f t="shared" si="54"/>
        <v>#VALUE!</v>
      </c>
      <c r="G548" s="8" t="str">
        <f>IF([1]All!$B549="","",[1]All!$B549)</f>
        <v/>
      </c>
      <c r="H548" s="7"/>
      <c r="I548" s="8" t="str">
        <f>IF([1]All!$D549=0,"",[1]All!$D549)</f>
        <v/>
      </c>
      <c r="J548" s="8" t="str">
        <f>IF([1]All!$E549=0,"",[1]All!$E549)</f>
        <v/>
      </c>
      <c r="K548" s="8" t="s">
        <v>445</v>
      </c>
      <c r="L548" s="11" t="str">
        <f>IF([1]All!$L549=0,"",[1]All!$L549)</f>
        <v/>
      </c>
      <c r="M548" s="7" t="str">
        <f>IF([1]All!$AJ549=0,"",[1]All!$AJ549)</f>
        <v/>
      </c>
      <c r="N548" s="7" t="str">
        <f>IF([1]All!$R549=0,"",[1]All!$R549)</f>
        <v/>
      </c>
      <c r="O548" s="7" t="str">
        <f>IF([1]All!$S549=0,"",[1]All!$S549)</f>
        <v/>
      </c>
      <c r="P548" s="7" t="str">
        <f>IF([1]All!$V549=0,"",[1]All!$V549)</f>
        <v/>
      </c>
      <c r="Q548" s="3" t="e">
        <f t="shared" si="53"/>
        <v>#VALUE!</v>
      </c>
      <c r="R548" s="8" t="str">
        <f>IF([1]All!$F549=0,"",[1]All!$F549)</f>
        <v/>
      </c>
    </row>
    <row r="549" spans="1:18">
      <c r="A549" s="7"/>
      <c r="B549" s="3" t="str">
        <f t="shared" si="49"/>
        <v/>
      </c>
      <c r="C549" s="3" t="str">
        <f t="shared" si="50"/>
        <v/>
      </c>
      <c r="D549" s="9" t="str">
        <f t="shared" si="51"/>
        <v/>
      </c>
      <c r="E549" s="3" t="str">
        <f t="shared" si="52"/>
        <v xml:space="preserve"> </v>
      </c>
      <c r="F549" s="10" t="e">
        <f t="shared" si="54"/>
        <v>#VALUE!</v>
      </c>
      <c r="G549" s="8" t="str">
        <f>IF([1]All!$B550="","",[1]All!$B550)</f>
        <v/>
      </c>
      <c r="H549" s="7"/>
      <c r="I549" s="8" t="str">
        <f>IF([1]All!$D550=0,"",[1]All!$D550)</f>
        <v/>
      </c>
      <c r="J549" s="8" t="str">
        <f>IF([1]All!$E550=0,"",[1]All!$E550)</f>
        <v/>
      </c>
      <c r="K549" s="8" t="s">
        <v>445</v>
      </c>
      <c r="L549" s="11" t="str">
        <f>IF([1]All!$L550=0,"",[1]All!$L550)</f>
        <v/>
      </c>
      <c r="M549" s="7" t="str">
        <f>IF([1]All!$AJ550=0,"",[1]All!$AJ550)</f>
        <v/>
      </c>
      <c r="N549" s="7" t="str">
        <f>IF([1]All!$R550=0,"",[1]All!$R550)</f>
        <v/>
      </c>
      <c r="O549" s="7" t="str">
        <f>IF([1]All!$S550=0,"",[1]All!$S550)</f>
        <v/>
      </c>
      <c r="P549" s="7" t="str">
        <f>IF([1]All!$V550=0,"",[1]All!$V550)</f>
        <v/>
      </c>
      <c r="Q549" s="3" t="e">
        <f t="shared" si="53"/>
        <v>#VALUE!</v>
      </c>
      <c r="R549" s="8" t="str">
        <f>IF([1]All!$F550=0,"",[1]All!$F550)</f>
        <v/>
      </c>
    </row>
    <row r="550" spans="1:18">
      <c r="A550" s="7"/>
      <c r="B550" s="3" t="str">
        <f t="shared" si="49"/>
        <v/>
      </c>
      <c r="C550" s="3" t="str">
        <f t="shared" si="50"/>
        <v/>
      </c>
      <c r="D550" s="9" t="str">
        <f t="shared" si="51"/>
        <v/>
      </c>
      <c r="E550" s="3" t="str">
        <f t="shared" si="52"/>
        <v xml:space="preserve"> </v>
      </c>
      <c r="F550" s="10" t="e">
        <f t="shared" si="54"/>
        <v>#VALUE!</v>
      </c>
      <c r="G550" s="8" t="str">
        <f>IF([1]All!$B551="","",[1]All!$B551)</f>
        <v/>
      </c>
      <c r="H550" s="7"/>
      <c r="I550" s="8" t="str">
        <f>IF([1]All!$D551=0,"",[1]All!$D551)</f>
        <v/>
      </c>
      <c r="J550" s="8" t="str">
        <f>IF([1]All!$E551=0,"",[1]All!$E551)</f>
        <v/>
      </c>
      <c r="K550" s="8" t="s">
        <v>445</v>
      </c>
      <c r="L550" s="11" t="str">
        <f>IF([1]All!$L551=0,"",[1]All!$L551)</f>
        <v/>
      </c>
      <c r="M550" s="7" t="str">
        <f>IF([1]All!$AJ551=0,"",[1]All!$AJ551)</f>
        <v/>
      </c>
      <c r="N550" s="7" t="str">
        <f>IF([1]All!$R551=0,"",[1]All!$R551)</f>
        <v/>
      </c>
      <c r="O550" s="7" t="str">
        <f>IF([1]All!$S551=0,"",[1]All!$S551)</f>
        <v/>
      </c>
      <c r="P550" s="7" t="str">
        <f>IF([1]All!$V551=0,"",[1]All!$V551)</f>
        <v/>
      </c>
      <c r="Q550" s="3" t="e">
        <f t="shared" si="53"/>
        <v>#VALUE!</v>
      </c>
      <c r="R550" s="8" t="str">
        <f>IF([1]All!$F551=0,"",[1]All!$F551)</f>
        <v/>
      </c>
    </row>
    <row r="551" spans="1:18">
      <c r="A551" s="7"/>
      <c r="B551" s="3" t="str">
        <f t="shared" si="49"/>
        <v/>
      </c>
      <c r="C551" s="3" t="str">
        <f t="shared" si="50"/>
        <v/>
      </c>
      <c r="D551" s="9" t="str">
        <f t="shared" si="51"/>
        <v/>
      </c>
      <c r="E551" s="3" t="str">
        <f t="shared" si="52"/>
        <v xml:space="preserve"> </v>
      </c>
      <c r="F551" s="10" t="e">
        <f t="shared" si="54"/>
        <v>#VALUE!</v>
      </c>
      <c r="G551" s="8" t="str">
        <f>IF([1]All!$B552="","",[1]All!$B552)</f>
        <v/>
      </c>
      <c r="H551" s="7"/>
      <c r="I551" s="8" t="str">
        <f>IF([1]All!$D552=0,"",[1]All!$D552)</f>
        <v/>
      </c>
      <c r="J551" s="8" t="str">
        <f>IF([1]All!$E552=0,"",[1]All!$E552)</f>
        <v/>
      </c>
      <c r="K551" s="8" t="s">
        <v>445</v>
      </c>
      <c r="L551" s="11" t="str">
        <f>IF([1]All!$L552=0,"",[1]All!$L552)</f>
        <v/>
      </c>
      <c r="M551" s="7" t="str">
        <f>IF([1]All!$AJ552=0,"",[1]All!$AJ552)</f>
        <v/>
      </c>
      <c r="N551" s="7" t="str">
        <f>IF([1]All!$R552=0,"",[1]All!$R552)</f>
        <v/>
      </c>
      <c r="O551" s="7" t="str">
        <f>IF([1]All!$S552=0,"",[1]All!$S552)</f>
        <v/>
      </c>
      <c r="P551" s="7" t="str">
        <f>IF([1]All!$V552=0,"",[1]All!$V552)</f>
        <v/>
      </c>
      <c r="Q551" s="3" t="e">
        <f t="shared" si="53"/>
        <v>#VALUE!</v>
      </c>
      <c r="R551" s="8" t="str">
        <f>IF([1]All!$F552=0,"",[1]All!$F552)</f>
        <v/>
      </c>
    </row>
    <row r="552" spans="1:18">
      <c r="A552" s="7"/>
      <c r="B552" s="3" t="str">
        <f t="shared" si="49"/>
        <v/>
      </c>
      <c r="C552" s="3" t="str">
        <f t="shared" si="50"/>
        <v/>
      </c>
      <c r="D552" s="9" t="str">
        <f t="shared" si="51"/>
        <v/>
      </c>
      <c r="E552" s="3" t="str">
        <f t="shared" si="52"/>
        <v xml:space="preserve"> </v>
      </c>
      <c r="F552" s="10" t="e">
        <f t="shared" si="54"/>
        <v>#VALUE!</v>
      </c>
      <c r="G552" s="8" t="str">
        <f>IF([1]All!$B553="","",[1]All!$B553)</f>
        <v/>
      </c>
      <c r="H552" s="7"/>
      <c r="I552" s="8" t="str">
        <f>IF([1]All!$D553=0,"",[1]All!$D553)</f>
        <v/>
      </c>
      <c r="J552" s="8" t="str">
        <f>IF([1]All!$E553=0,"",[1]All!$E553)</f>
        <v/>
      </c>
      <c r="K552" s="8" t="s">
        <v>445</v>
      </c>
      <c r="L552" s="11" t="str">
        <f>IF([1]All!$L553=0,"",[1]All!$L553)</f>
        <v/>
      </c>
      <c r="M552" s="7" t="str">
        <f>IF([1]All!$AJ553=0,"",[1]All!$AJ553)</f>
        <v/>
      </c>
      <c r="N552" s="7" t="str">
        <f>IF([1]All!$R553=0,"",[1]All!$R553)</f>
        <v/>
      </c>
      <c r="O552" s="7" t="str">
        <f>IF([1]All!$S553=0,"",[1]All!$S553)</f>
        <v/>
      </c>
      <c r="P552" s="7" t="str">
        <f>IF([1]All!$V553=0,"",[1]All!$V553)</f>
        <v/>
      </c>
      <c r="Q552" s="3" t="e">
        <f t="shared" si="53"/>
        <v>#VALUE!</v>
      </c>
      <c r="R552" s="8" t="str">
        <f>IF([1]All!$F553=0,"",[1]All!$F553)</f>
        <v/>
      </c>
    </row>
    <row r="553" spans="1:18">
      <c r="A553" s="7"/>
      <c r="B553" s="3" t="str">
        <f t="shared" si="49"/>
        <v/>
      </c>
      <c r="C553" s="3" t="str">
        <f t="shared" si="50"/>
        <v/>
      </c>
      <c r="D553" s="9" t="str">
        <f t="shared" si="51"/>
        <v/>
      </c>
      <c r="E553" s="3" t="str">
        <f t="shared" si="52"/>
        <v xml:space="preserve"> </v>
      </c>
      <c r="F553" s="10" t="e">
        <f t="shared" si="54"/>
        <v>#VALUE!</v>
      </c>
      <c r="G553" s="8" t="str">
        <f>IF([1]All!$B554="","",[1]All!$B554)</f>
        <v/>
      </c>
      <c r="H553" s="7"/>
      <c r="I553" s="8" t="str">
        <f>IF([1]All!$D554=0,"",[1]All!$D554)</f>
        <v/>
      </c>
      <c r="J553" s="8" t="str">
        <f>IF([1]All!$E554=0,"",[1]All!$E554)</f>
        <v/>
      </c>
      <c r="K553" s="8" t="s">
        <v>445</v>
      </c>
      <c r="L553" s="11" t="str">
        <f>IF([1]All!$L554=0,"",[1]All!$L554)</f>
        <v/>
      </c>
      <c r="M553" s="7" t="str">
        <f>IF([1]All!$AJ554=0,"",[1]All!$AJ554)</f>
        <v/>
      </c>
      <c r="N553" s="7" t="str">
        <f>IF([1]All!$R554=0,"",[1]All!$R554)</f>
        <v/>
      </c>
      <c r="O553" s="7" t="str">
        <f>IF([1]All!$S554=0,"",[1]All!$S554)</f>
        <v/>
      </c>
      <c r="P553" s="7" t="str">
        <f>IF([1]All!$V554=0,"",[1]All!$V554)</f>
        <v/>
      </c>
      <c r="Q553" s="3" t="e">
        <f t="shared" si="53"/>
        <v>#VALUE!</v>
      </c>
      <c r="R553" s="8" t="str">
        <f>IF([1]All!$F554=0,"",[1]All!$F554)</f>
        <v/>
      </c>
    </row>
    <row r="554" spans="1:18">
      <c r="A554" s="7"/>
      <c r="B554" s="3" t="str">
        <f t="shared" si="49"/>
        <v/>
      </c>
      <c r="C554" s="3" t="str">
        <f t="shared" si="50"/>
        <v/>
      </c>
      <c r="D554" s="9" t="str">
        <f t="shared" si="51"/>
        <v/>
      </c>
      <c r="E554" s="3" t="str">
        <f t="shared" si="52"/>
        <v xml:space="preserve"> </v>
      </c>
      <c r="F554" s="10" t="e">
        <f t="shared" si="54"/>
        <v>#VALUE!</v>
      </c>
      <c r="G554" s="8" t="str">
        <f>IF([1]All!$B555="","",[1]All!$B555)</f>
        <v/>
      </c>
      <c r="H554" s="7"/>
      <c r="I554" s="8" t="str">
        <f>IF([1]All!$D555=0,"",[1]All!$D555)</f>
        <v/>
      </c>
      <c r="J554" s="8" t="str">
        <f>IF([1]All!$E555=0,"",[1]All!$E555)</f>
        <v/>
      </c>
      <c r="K554" s="8" t="s">
        <v>445</v>
      </c>
      <c r="L554" s="11" t="str">
        <f>IF([1]All!$L555=0,"",[1]All!$L555)</f>
        <v/>
      </c>
      <c r="M554" s="7" t="str">
        <f>IF([1]All!$AJ555=0,"",[1]All!$AJ555)</f>
        <v/>
      </c>
      <c r="N554" s="7" t="str">
        <f>IF([1]All!$R555=0,"",[1]All!$R555)</f>
        <v/>
      </c>
      <c r="O554" s="7" t="str">
        <f>IF([1]All!$S555=0,"",[1]All!$S555)</f>
        <v/>
      </c>
      <c r="P554" s="7" t="str">
        <f>IF([1]All!$V555=0,"",[1]All!$V555)</f>
        <v/>
      </c>
      <c r="Q554" s="3" t="e">
        <f t="shared" si="53"/>
        <v>#VALUE!</v>
      </c>
      <c r="R554" s="8" t="str">
        <f>IF([1]All!$F555=0,"",[1]All!$F555)</f>
        <v/>
      </c>
    </row>
    <row r="555" spans="1:18">
      <c r="A555" s="7"/>
      <c r="B555" s="3" t="str">
        <f t="shared" si="49"/>
        <v/>
      </c>
      <c r="C555" s="3" t="str">
        <f t="shared" si="50"/>
        <v/>
      </c>
      <c r="D555" s="9" t="str">
        <f t="shared" si="51"/>
        <v/>
      </c>
      <c r="E555" s="3" t="str">
        <f t="shared" si="52"/>
        <v xml:space="preserve"> </v>
      </c>
      <c r="F555" s="10" t="e">
        <f t="shared" si="54"/>
        <v>#VALUE!</v>
      </c>
      <c r="G555" s="8" t="str">
        <f>IF([1]All!$B556="","",[1]All!$B556)</f>
        <v/>
      </c>
      <c r="H555" s="7"/>
      <c r="I555" s="8" t="str">
        <f>IF([1]All!$D556=0,"",[1]All!$D556)</f>
        <v/>
      </c>
      <c r="J555" s="8" t="str">
        <f>IF([1]All!$E556=0,"",[1]All!$E556)</f>
        <v/>
      </c>
      <c r="K555" s="8" t="s">
        <v>445</v>
      </c>
      <c r="L555" s="11" t="str">
        <f>IF([1]All!$L556=0,"",[1]All!$L556)</f>
        <v/>
      </c>
      <c r="M555" s="7" t="str">
        <f>IF([1]All!$AJ556=0,"",[1]All!$AJ556)</f>
        <v/>
      </c>
      <c r="N555" s="7" t="str">
        <f>IF([1]All!$R556=0,"",[1]All!$R556)</f>
        <v/>
      </c>
      <c r="O555" s="7" t="str">
        <f>IF([1]All!$S556=0,"",[1]All!$S556)</f>
        <v/>
      </c>
      <c r="P555" s="7" t="str">
        <f>IF([1]All!$V556=0,"",[1]All!$V556)</f>
        <v/>
      </c>
      <c r="Q555" s="3" t="e">
        <f t="shared" si="53"/>
        <v>#VALUE!</v>
      </c>
      <c r="R555" s="8" t="str">
        <f>IF([1]All!$F556=0,"",[1]All!$F556)</f>
        <v/>
      </c>
    </row>
    <row r="556" spans="1:18">
      <c r="A556" s="7"/>
      <c r="B556" s="3" t="str">
        <f t="shared" si="49"/>
        <v/>
      </c>
      <c r="C556" s="3" t="str">
        <f t="shared" si="50"/>
        <v/>
      </c>
      <c r="D556" s="9" t="str">
        <f t="shared" si="51"/>
        <v/>
      </c>
      <c r="E556" s="3" t="str">
        <f t="shared" si="52"/>
        <v xml:space="preserve"> </v>
      </c>
      <c r="F556" s="10" t="e">
        <f t="shared" si="54"/>
        <v>#VALUE!</v>
      </c>
      <c r="G556" s="8" t="str">
        <f>IF([1]All!$B557="","",[1]All!$B557)</f>
        <v/>
      </c>
      <c r="H556" s="7"/>
      <c r="I556" s="8" t="str">
        <f>IF([1]All!$D557=0,"",[1]All!$D557)</f>
        <v/>
      </c>
      <c r="J556" s="8" t="str">
        <f>IF([1]All!$E557=0,"",[1]All!$E557)</f>
        <v/>
      </c>
      <c r="K556" s="8" t="s">
        <v>445</v>
      </c>
      <c r="L556" s="11" t="str">
        <f>IF([1]All!$L557=0,"",[1]All!$L557)</f>
        <v/>
      </c>
      <c r="M556" s="7" t="str">
        <f>IF([1]All!$AJ557=0,"",[1]All!$AJ557)</f>
        <v/>
      </c>
      <c r="N556" s="7" t="str">
        <f>IF([1]All!$R557=0,"",[1]All!$R557)</f>
        <v/>
      </c>
      <c r="O556" s="7" t="str">
        <f>IF([1]All!$S557=0,"",[1]All!$S557)</f>
        <v/>
      </c>
      <c r="P556" s="7" t="str">
        <f>IF([1]All!$V557=0,"",[1]All!$V557)</f>
        <v/>
      </c>
      <c r="Q556" s="3" t="e">
        <f t="shared" si="53"/>
        <v>#VALUE!</v>
      </c>
      <c r="R556" s="8" t="str">
        <f>IF([1]All!$F557=0,"",[1]All!$F557)</f>
        <v/>
      </c>
    </row>
    <row r="557" spans="1:18">
      <c r="A557" s="7"/>
      <c r="B557" s="3" t="str">
        <f t="shared" si="49"/>
        <v/>
      </c>
      <c r="C557" s="3" t="str">
        <f t="shared" si="50"/>
        <v/>
      </c>
      <c r="D557" s="9" t="str">
        <f t="shared" si="51"/>
        <v/>
      </c>
      <c r="E557" s="3" t="str">
        <f t="shared" si="52"/>
        <v xml:space="preserve"> </v>
      </c>
      <c r="F557" s="10" t="e">
        <f t="shared" si="54"/>
        <v>#VALUE!</v>
      </c>
      <c r="G557" s="8" t="str">
        <f>IF([1]All!$B558="","",[1]All!$B558)</f>
        <v/>
      </c>
      <c r="H557" s="7"/>
      <c r="I557" s="8" t="str">
        <f>IF([1]All!$D558=0,"",[1]All!$D558)</f>
        <v/>
      </c>
      <c r="J557" s="8" t="str">
        <f>IF([1]All!$E558=0,"",[1]All!$E558)</f>
        <v/>
      </c>
      <c r="K557" s="8" t="s">
        <v>445</v>
      </c>
      <c r="L557" s="11" t="str">
        <f>IF([1]All!$L558=0,"",[1]All!$L558)</f>
        <v/>
      </c>
      <c r="M557" s="7" t="str">
        <f>IF([1]All!$AJ558=0,"",[1]All!$AJ558)</f>
        <v/>
      </c>
      <c r="N557" s="7" t="str">
        <f>IF([1]All!$R558=0,"",[1]All!$R558)</f>
        <v/>
      </c>
      <c r="O557" s="7" t="str">
        <f>IF([1]All!$S558=0,"",[1]All!$S558)</f>
        <v/>
      </c>
      <c r="P557" s="7" t="str">
        <f>IF([1]All!$V558=0,"",[1]All!$V558)</f>
        <v/>
      </c>
      <c r="Q557" s="3" t="e">
        <f t="shared" si="53"/>
        <v>#VALUE!</v>
      </c>
      <c r="R557" s="8" t="str">
        <f>IF([1]All!$F558=0,"",[1]All!$F558)</f>
        <v/>
      </c>
    </row>
    <row r="558" spans="1:18">
      <c r="A558" s="7"/>
      <c r="B558" s="3" t="str">
        <f t="shared" si="49"/>
        <v/>
      </c>
      <c r="C558" s="3" t="str">
        <f t="shared" si="50"/>
        <v/>
      </c>
      <c r="D558" s="9" t="str">
        <f t="shared" si="51"/>
        <v/>
      </c>
      <c r="E558" s="3" t="str">
        <f t="shared" si="52"/>
        <v xml:space="preserve"> </v>
      </c>
      <c r="F558" s="10" t="e">
        <f t="shared" si="54"/>
        <v>#VALUE!</v>
      </c>
      <c r="G558" s="8" t="str">
        <f>IF([1]All!$B559="","",[1]All!$B559)</f>
        <v/>
      </c>
      <c r="H558" s="7"/>
      <c r="I558" s="8" t="str">
        <f>IF([1]All!$D559=0,"",[1]All!$D559)</f>
        <v/>
      </c>
      <c r="J558" s="8" t="str">
        <f>IF([1]All!$E559=0,"",[1]All!$E559)</f>
        <v/>
      </c>
      <c r="K558" s="8" t="s">
        <v>445</v>
      </c>
      <c r="L558" s="11" t="str">
        <f>IF([1]All!$L559=0,"",[1]All!$L559)</f>
        <v/>
      </c>
      <c r="M558" s="7" t="str">
        <f>IF([1]All!$AJ559=0,"",[1]All!$AJ559)</f>
        <v/>
      </c>
      <c r="N558" s="7" t="str">
        <f>IF([1]All!$R559=0,"",[1]All!$R559)</f>
        <v/>
      </c>
      <c r="O558" s="7" t="str">
        <f>IF([1]All!$S559=0,"",[1]All!$S559)</f>
        <v/>
      </c>
      <c r="P558" s="7" t="str">
        <f>IF([1]All!$V559=0,"",[1]All!$V559)</f>
        <v/>
      </c>
      <c r="Q558" s="3" t="e">
        <f t="shared" si="53"/>
        <v>#VALUE!</v>
      </c>
      <c r="R558" s="8" t="str">
        <f>IF([1]All!$F559=0,"",[1]All!$F559)</f>
        <v/>
      </c>
    </row>
    <row r="559" spans="1:18">
      <c r="A559" s="7"/>
      <c r="B559" s="3" t="str">
        <f t="shared" si="49"/>
        <v/>
      </c>
      <c r="C559" s="3" t="str">
        <f t="shared" si="50"/>
        <v/>
      </c>
      <c r="D559" s="9" t="str">
        <f t="shared" si="51"/>
        <v/>
      </c>
      <c r="E559" s="3" t="str">
        <f t="shared" si="52"/>
        <v xml:space="preserve"> </v>
      </c>
      <c r="F559" s="10" t="e">
        <f t="shared" si="54"/>
        <v>#VALUE!</v>
      </c>
      <c r="G559" s="8" t="str">
        <f>IF([1]All!$B560="","",[1]All!$B560)</f>
        <v/>
      </c>
      <c r="H559" s="7"/>
      <c r="I559" s="8" t="str">
        <f>IF([1]All!$D560=0,"",[1]All!$D560)</f>
        <v/>
      </c>
      <c r="J559" s="8" t="str">
        <f>IF([1]All!$E560=0,"",[1]All!$E560)</f>
        <v/>
      </c>
      <c r="K559" s="8" t="s">
        <v>445</v>
      </c>
      <c r="L559" s="11" t="str">
        <f>IF([1]All!$L560=0,"",[1]All!$L560)</f>
        <v/>
      </c>
      <c r="M559" s="7" t="str">
        <f>IF([1]All!$AJ560=0,"",[1]All!$AJ560)</f>
        <v/>
      </c>
      <c r="N559" s="7" t="str">
        <f>IF([1]All!$R560=0,"",[1]All!$R560)</f>
        <v/>
      </c>
      <c r="O559" s="7" t="str">
        <f>IF([1]All!$S560=0,"",[1]All!$S560)</f>
        <v/>
      </c>
      <c r="P559" s="7" t="str">
        <f>IF([1]All!$V560=0,"",[1]All!$V560)</f>
        <v/>
      </c>
      <c r="Q559" s="3" t="e">
        <f t="shared" si="53"/>
        <v>#VALUE!</v>
      </c>
      <c r="R559" s="8" t="str">
        <f>IF([1]All!$F560=0,"",[1]All!$F560)</f>
        <v/>
      </c>
    </row>
    <row r="560" spans="1:18">
      <c r="A560" s="7"/>
      <c r="B560" s="3" t="str">
        <f t="shared" si="49"/>
        <v/>
      </c>
      <c r="C560" s="3" t="str">
        <f t="shared" si="50"/>
        <v/>
      </c>
      <c r="D560" s="9" t="str">
        <f t="shared" si="51"/>
        <v/>
      </c>
      <c r="E560" s="3" t="str">
        <f t="shared" si="52"/>
        <v xml:space="preserve"> </v>
      </c>
      <c r="F560" s="10" t="e">
        <f t="shared" si="54"/>
        <v>#VALUE!</v>
      </c>
      <c r="G560" s="8" t="str">
        <f>IF([1]All!$B561="","",[1]All!$B561)</f>
        <v/>
      </c>
      <c r="H560" s="7"/>
      <c r="I560" s="8" t="str">
        <f>IF([1]All!$D561=0,"",[1]All!$D561)</f>
        <v/>
      </c>
      <c r="J560" s="8" t="str">
        <f>IF([1]All!$E561=0,"",[1]All!$E561)</f>
        <v/>
      </c>
      <c r="K560" s="8" t="s">
        <v>445</v>
      </c>
      <c r="L560" s="11" t="str">
        <f>IF([1]All!$L561=0,"",[1]All!$L561)</f>
        <v/>
      </c>
      <c r="M560" s="7" t="str">
        <f>IF([1]All!$AJ561=0,"",[1]All!$AJ561)</f>
        <v/>
      </c>
      <c r="N560" s="7" t="str">
        <f>IF([1]All!$R561=0,"",[1]All!$R561)</f>
        <v/>
      </c>
      <c r="O560" s="7" t="str">
        <f>IF([1]All!$S561=0,"",[1]All!$S561)</f>
        <v/>
      </c>
      <c r="P560" s="7" t="str">
        <f>IF([1]All!$V561=0,"",[1]All!$V561)</f>
        <v/>
      </c>
      <c r="Q560" s="3" t="e">
        <f t="shared" si="53"/>
        <v>#VALUE!</v>
      </c>
      <c r="R560" s="8" t="str">
        <f>IF([1]All!$F561=0,"",[1]All!$F561)</f>
        <v/>
      </c>
    </row>
    <row r="561" spans="1:18">
      <c r="A561" s="7"/>
      <c r="B561" s="3" t="str">
        <f t="shared" si="49"/>
        <v/>
      </c>
      <c r="C561" s="3" t="str">
        <f t="shared" si="50"/>
        <v/>
      </c>
      <c r="D561" s="9" t="str">
        <f t="shared" si="51"/>
        <v/>
      </c>
      <c r="E561" s="3" t="str">
        <f t="shared" si="52"/>
        <v xml:space="preserve"> </v>
      </c>
      <c r="F561" s="10" t="e">
        <f t="shared" si="54"/>
        <v>#VALUE!</v>
      </c>
      <c r="G561" s="8" t="str">
        <f>IF([1]All!$B562="","",[1]All!$B562)</f>
        <v/>
      </c>
      <c r="H561" s="7"/>
      <c r="I561" s="8" t="str">
        <f>IF([1]All!$D562=0,"",[1]All!$D562)</f>
        <v/>
      </c>
      <c r="J561" s="8" t="str">
        <f>IF([1]All!$E562=0,"",[1]All!$E562)</f>
        <v/>
      </c>
      <c r="K561" s="8" t="s">
        <v>445</v>
      </c>
      <c r="L561" s="11" t="str">
        <f>IF([1]All!$L562=0,"",[1]All!$L562)</f>
        <v/>
      </c>
      <c r="M561" s="7" t="str">
        <f>IF([1]All!$AJ562=0,"",[1]All!$AJ562)</f>
        <v/>
      </c>
      <c r="N561" s="7" t="str">
        <f>IF([1]All!$R562=0,"",[1]All!$R562)</f>
        <v/>
      </c>
      <c r="O561" s="7" t="str">
        <f>IF([1]All!$S562=0,"",[1]All!$S562)</f>
        <v/>
      </c>
      <c r="P561" s="7" t="str">
        <f>IF([1]All!$V562=0,"",[1]All!$V562)</f>
        <v/>
      </c>
      <c r="Q561" s="3" t="e">
        <f t="shared" si="53"/>
        <v>#VALUE!</v>
      </c>
      <c r="R561" s="8" t="str">
        <f>IF([1]All!$F562=0,"",[1]All!$F562)</f>
        <v/>
      </c>
    </row>
    <row r="562" spans="1:18">
      <c r="A562" s="7"/>
      <c r="B562" s="3" t="str">
        <f t="shared" si="49"/>
        <v/>
      </c>
      <c r="C562" s="3" t="str">
        <f t="shared" si="50"/>
        <v/>
      </c>
      <c r="D562" s="9" t="str">
        <f t="shared" si="51"/>
        <v/>
      </c>
      <c r="E562" s="3" t="str">
        <f t="shared" si="52"/>
        <v xml:space="preserve"> </v>
      </c>
      <c r="F562" s="10" t="e">
        <f t="shared" si="54"/>
        <v>#VALUE!</v>
      </c>
      <c r="G562" s="8" t="str">
        <f>IF([1]All!$B563="","",[1]All!$B563)</f>
        <v/>
      </c>
      <c r="H562" s="7"/>
      <c r="I562" s="8" t="str">
        <f>IF([1]All!$D563=0,"",[1]All!$D563)</f>
        <v/>
      </c>
      <c r="J562" s="8" t="str">
        <f>IF([1]All!$E563=0,"",[1]All!$E563)</f>
        <v/>
      </c>
      <c r="K562" s="8" t="s">
        <v>445</v>
      </c>
      <c r="L562" s="11" t="str">
        <f>IF([1]All!$L563=0,"",[1]All!$L563)</f>
        <v/>
      </c>
      <c r="M562" s="7" t="str">
        <f>IF([1]All!$AJ563=0,"",[1]All!$AJ563)</f>
        <v/>
      </c>
      <c r="N562" s="7" t="str">
        <f>IF([1]All!$R563=0,"",[1]All!$R563)</f>
        <v/>
      </c>
      <c r="O562" s="7" t="str">
        <f>IF([1]All!$S563=0,"",[1]All!$S563)</f>
        <v/>
      </c>
      <c r="P562" s="7" t="str">
        <f>IF([1]All!$V563=0,"",[1]All!$V563)</f>
        <v/>
      </c>
      <c r="Q562" s="3" t="e">
        <f t="shared" si="53"/>
        <v>#VALUE!</v>
      </c>
      <c r="R562" s="8" t="str">
        <f>IF([1]All!$F563=0,"",[1]All!$F563)</f>
        <v/>
      </c>
    </row>
    <row r="563" spans="1:18">
      <c r="A563" s="7"/>
      <c r="B563" s="3" t="str">
        <f t="shared" si="49"/>
        <v/>
      </c>
      <c r="C563" s="3" t="str">
        <f t="shared" si="50"/>
        <v/>
      </c>
      <c r="D563" s="9" t="str">
        <f t="shared" si="51"/>
        <v/>
      </c>
      <c r="E563" s="3" t="str">
        <f t="shared" si="52"/>
        <v xml:space="preserve"> </v>
      </c>
      <c r="F563" s="10" t="e">
        <f t="shared" si="54"/>
        <v>#VALUE!</v>
      </c>
      <c r="G563" s="8" t="str">
        <f>IF([1]All!$B564="","",[1]All!$B564)</f>
        <v/>
      </c>
      <c r="H563" s="7"/>
      <c r="I563" s="8" t="str">
        <f>IF([1]All!$D564=0,"",[1]All!$D564)</f>
        <v/>
      </c>
      <c r="J563" s="8" t="str">
        <f>IF([1]All!$E564=0,"",[1]All!$E564)</f>
        <v/>
      </c>
      <c r="K563" s="8" t="s">
        <v>445</v>
      </c>
      <c r="L563" s="11" t="str">
        <f>IF([1]All!$L564=0,"",[1]All!$L564)</f>
        <v/>
      </c>
      <c r="M563" s="7" t="str">
        <f>IF([1]All!$AJ564=0,"",[1]All!$AJ564)</f>
        <v/>
      </c>
      <c r="N563" s="7" t="str">
        <f>IF([1]All!$R564=0,"",[1]All!$R564)</f>
        <v/>
      </c>
      <c r="O563" s="7" t="str">
        <f>IF([1]All!$S564=0,"",[1]All!$S564)</f>
        <v/>
      </c>
      <c r="P563" s="7" t="str">
        <f>IF([1]All!$V564=0,"",[1]All!$V564)</f>
        <v/>
      </c>
      <c r="Q563" s="3" t="e">
        <f t="shared" si="53"/>
        <v>#VALUE!</v>
      </c>
      <c r="R563" s="8" t="str">
        <f>IF([1]All!$F564=0,"",[1]All!$F564)</f>
        <v/>
      </c>
    </row>
    <row r="564" spans="1:18">
      <c r="A564" s="7"/>
      <c r="B564" s="3" t="str">
        <f t="shared" si="49"/>
        <v/>
      </c>
      <c r="C564" s="3" t="str">
        <f t="shared" si="50"/>
        <v/>
      </c>
      <c r="D564" s="9" t="str">
        <f t="shared" si="51"/>
        <v/>
      </c>
      <c r="E564" s="3" t="str">
        <f t="shared" si="52"/>
        <v xml:space="preserve"> </v>
      </c>
      <c r="F564" s="10" t="e">
        <f t="shared" si="54"/>
        <v>#VALUE!</v>
      </c>
      <c r="G564" s="8" t="str">
        <f>IF([1]All!$B565="","",[1]All!$B565)</f>
        <v/>
      </c>
      <c r="H564" s="7"/>
      <c r="I564" s="8" t="str">
        <f>IF([1]All!$D565=0,"",[1]All!$D565)</f>
        <v/>
      </c>
      <c r="J564" s="8" t="str">
        <f>IF([1]All!$E565=0,"",[1]All!$E565)</f>
        <v/>
      </c>
      <c r="K564" s="8" t="s">
        <v>445</v>
      </c>
      <c r="L564" s="11" t="str">
        <f>IF([1]All!$L565=0,"",[1]All!$L565)</f>
        <v/>
      </c>
      <c r="M564" s="7" t="str">
        <f>IF([1]All!$AJ565=0,"",[1]All!$AJ565)</f>
        <v/>
      </c>
      <c r="N564" s="7" t="str">
        <f>IF([1]All!$R565=0,"",[1]All!$R565)</f>
        <v/>
      </c>
      <c r="O564" s="7" t="str">
        <f>IF([1]All!$S565=0,"",[1]All!$S565)</f>
        <v/>
      </c>
      <c r="P564" s="7" t="str">
        <f>IF([1]All!$V565=0,"",[1]All!$V565)</f>
        <v/>
      </c>
      <c r="Q564" s="3" t="e">
        <f t="shared" si="53"/>
        <v>#VALUE!</v>
      </c>
      <c r="R564" s="8" t="str">
        <f>IF([1]All!$F565=0,"",[1]All!$F565)</f>
        <v/>
      </c>
    </row>
    <row r="565" spans="1:18">
      <c r="A565" s="7"/>
      <c r="B565" s="3" t="str">
        <f t="shared" si="49"/>
        <v/>
      </c>
      <c r="C565" s="3" t="str">
        <f t="shared" si="50"/>
        <v/>
      </c>
      <c r="D565" s="9" t="str">
        <f t="shared" si="51"/>
        <v/>
      </c>
      <c r="E565" s="3" t="str">
        <f t="shared" si="52"/>
        <v xml:space="preserve"> </v>
      </c>
      <c r="F565" s="10" t="e">
        <f t="shared" si="54"/>
        <v>#VALUE!</v>
      </c>
      <c r="G565" s="8" t="str">
        <f>IF([1]All!$B566="","",[1]All!$B566)</f>
        <v/>
      </c>
      <c r="H565" s="7"/>
      <c r="I565" s="8" t="str">
        <f>IF([1]All!$D566=0,"",[1]All!$D566)</f>
        <v/>
      </c>
      <c r="J565" s="8" t="str">
        <f>IF([1]All!$E566=0,"",[1]All!$E566)</f>
        <v/>
      </c>
      <c r="K565" s="8" t="s">
        <v>445</v>
      </c>
      <c r="L565" s="11" t="str">
        <f>IF([1]All!$L566=0,"",[1]All!$L566)</f>
        <v/>
      </c>
      <c r="M565" s="7" t="str">
        <f>IF([1]All!$AJ566=0,"",[1]All!$AJ566)</f>
        <v/>
      </c>
      <c r="N565" s="7" t="str">
        <f>IF([1]All!$R566=0,"",[1]All!$R566)</f>
        <v/>
      </c>
      <c r="O565" s="7" t="str">
        <f>IF([1]All!$S566=0,"",[1]All!$S566)</f>
        <v/>
      </c>
      <c r="P565" s="7" t="str">
        <f>IF([1]All!$V566=0,"",[1]All!$V566)</f>
        <v/>
      </c>
      <c r="Q565" s="3" t="e">
        <f t="shared" si="53"/>
        <v>#VALUE!</v>
      </c>
      <c r="R565" s="8" t="str">
        <f>IF([1]All!$F566=0,"",[1]All!$F566)</f>
        <v/>
      </c>
    </row>
    <row r="566" spans="1:18">
      <c r="A566" s="7"/>
      <c r="B566" s="3" t="str">
        <f t="shared" si="49"/>
        <v/>
      </c>
      <c r="C566" s="3" t="str">
        <f t="shared" si="50"/>
        <v/>
      </c>
      <c r="D566" s="9" t="str">
        <f t="shared" si="51"/>
        <v/>
      </c>
      <c r="E566" s="3" t="str">
        <f t="shared" si="52"/>
        <v xml:space="preserve"> </v>
      </c>
      <c r="F566" s="10" t="e">
        <f t="shared" si="54"/>
        <v>#VALUE!</v>
      </c>
      <c r="G566" s="8" t="str">
        <f>IF([1]All!$B567="","",[1]All!$B567)</f>
        <v/>
      </c>
      <c r="H566" s="7"/>
      <c r="I566" s="8" t="str">
        <f>IF([1]All!$D567=0,"",[1]All!$D567)</f>
        <v/>
      </c>
      <c r="J566" s="8" t="str">
        <f>IF([1]All!$E567=0,"",[1]All!$E567)</f>
        <v/>
      </c>
      <c r="K566" s="8" t="s">
        <v>445</v>
      </c>
      <c r="L566" s="11" t="str">
        <f>IF([1]All!$L567=0,"",[1]All!$L567)</f>
        <v/>
      </c>
      <c r="M566" s="7" t="str">
        <f>IF([1]All!$AJ567=0,"",[1]All!$AJ567)</f>
        <v/>
      </c>
      <c r="N566" s="7" t="str">
        <f>IF([1]All!$R567=0,"",[1]All!$R567)</f>
        <v/>
      </c>
      <c r="O566" s="7" t="str">
        <f>IF([1]All!$S567=0,"",[1]All!$S567)</f>
        <v/>
      </c>
      <c r="P566" s="7" t="str">
        <f>IF([1]All!$V567=0,"",[1]All!$V567)</f>
        <v/>
      </c>
      <c r="Q566" s="3" t="e">
        <f t="shared" si="53"/>
        <v>#VALUE!</v>
      </c>
      <c r="R566" s="8" t="str">
        <f>IF([1]All!$F567=0,"",[1]All!$F567)</f>
        <v/>
      </c>
    </row>
    <row r="567" spans="1:18">
      <c r="A567" s="7"/>
      <c r="B567" s="3" t="str">
        <f t="shared" si="49"/>
        <v/>
      </c>
      <c r="C567" s="3" t="str">
        <f t="shared" si="50"/>
        <v/>
      </c>
      <c r="D567" s="9" t="str">
        <f t="shared" si="51"/>
        <v/>
      </c>
      <c r="E567" s="3" t="str">
        <f t="shared" si="52"/>
        <v xml:space="preserve"> </v>
      </c>
      <c r="F567" s="10" t="e">
        <f t="shared" si="54"/>
        <v>#VALUE!</v>
      </c>
      <c r="G567" s="8" t="str">
        <f>IF([1]All!$B568="","",[1]All!$B568)</f>
        <v/>
      </c>
      <c r="H567" s="7"/>
      <c r="I567" s="8" t="str">
        <f>IF([1]All!$D568=0,"",[1]All!$D568)</f>
        <v/>
      </c>
      <c r="J567" s="8" t="str">
        <f>IF([1]All!$E568=0,"",[1]All!$E568)</f>
        <v/>
      </c>
      <c r="K567" s="8" t="s">
        <v>445</v>
      </c>
      <c r="L567" s="11" t="str">
        <f>IF([1]All!$L568=0,"",[1]All!$L568)</f>
        <v/>
      </c>
      <c r="M567" s="7" t="str">
        <f>IF([1]All!$AJ568=0,"",[1]All!$AJ568)</f>
        <v/>
      </c>
      <c r="N567" s="7" t="str">
        <f>IF([1]All!$R568=0,"",[1]All!$R568)</f>
        <v/>
      </c>
      <c r="O567" s="7" t="str">
        <f>IF([1]All!$S568=0,"",[1]All!$S568)</f>
        <v/>
      </c>
      <c r="P567" s="7" t="str">
        <f>IF([1]All!$V568=0,"",[1]All!$V568)</f>
        <v/>
      </c>
      <c r="Q567" s="3" t="e">
        <f t="shared" si="53"/>
        <v>#VALUE!</v>
      </c>
      <c r="R567" s="8" t="str">
        <f>IF([1]All!$F568=0,"",[1]All!$F568)</f>
        <v/>
      </c>
    </row>
    <row r="568" spans="1:18">
      <c r="A568" s="7"/>
      <c r="B568" s="3" t="str">
        <f t="shared" si="49"/>
        <v/>
      </c>
      <c r="C568" s="3" t="str">
        <f t="shared" si="50"/>
        <v/>
      </c>
      <c r="D568" s="9" t="str">
        <f t="shared" si="51"/>
        <v/>
      </c>
      <c r="E568" s="3" t="str">
        <f t="shared" si="52"/>
        <v xml:space="preserve"> </v>
      </c>
      <c r="F568" s="10" t="e">
        <f t="shared" si="54"/>
        <v>#VALUE!</v>
      </c>
      <c r="G568" s="8" t="str">
        <f>IF([1]All!$B569="","",[1]All!$B569)</f>
        <v/>
      </c>
      <c r="H568" s="7"/>
      <c r="I568" s="8" t="str">
        <f>IF([1]All!$D569=0,"",[1]All!$D569)</f>
        <v/>
      </c>
      <c r="J568" s="8" t="str">
        <f>IF([1]All!$E569=0,"",[1]All!$E569)</f>
        <v/>
      </c>
      <c r="K568" s="8" t="s">
        <v>445</v>
      </c>
      <c r="L568" s="11" t="str">
        <f>IF([1]All!$L569=0,"",[1]All!$L569)</f>
        <v/>
      </c>
      <c r="M568" s="7" t="str">
        <f>IF([1]All!$AJ569=0,"",[1]All!$AJ569)</f>
        <v/>
      </c>
      <c r="N568" s="7" t="str">
        <f>IF([1]All!$R569=0,"",[1]All!$R569)</f>
        <v/>
      </c>
      <c r="O568" s="7" t="str">
        <f>IF([1]All!$S569=0,"",[1]All!$S569)</f>
        <v/>
      </c>
      <c r="P568" s="7" t="str">
        <f>IF([1]All!$V569=0,"",[1]All!$V569)</f>
        <v/>
      </c>
      <c r="Q568" s="3" t="e">
        <f t="shared" si="53"/>
        <v>#VALUE!</v>
      </c>
      <c r="R568" s="8" t="str">
        <f>IF([1]All!$F569=0,"",[1]All!$F569)</f>
        <v/>
      </c>
    </row>
    <row r="569" spans="1:18">
      <c r="A569" s="7"/>
      <c r="B569" s="3" t="str">
        <f t="shared" si="49"/>
        <v/>
      </c>
      <c r="C569" s="3" t="str">
        <f t="shared" si="50"/>
        <v/>
      </c>
      <c r="D569" s="9" t="str">
        <f t="shared" si="51"/>
        <v/>
      </c>
      <c r="E569" s="3" t="str">
        <f t="shared" si="52"/>
        <v xml:space="preserve"> </v>
      </c>
      <c r="F569" s="10" t="e">
        <f t="shared" si="54"/>
        <v>#VALUE!</v>
      </c>
      <c r="G569" s="8" t="str">
        <f>IF([1]All!$B570="","",[1]All!$B570)</f>
        <v/>
      </c>
      <c r="H569" s="7"/>
      <c r="I569" s="8" t="str">
        <f>IF([1]All!$D570=0,"",[1]All!$D570)</f>
        <v/>
      </c>
      <c r="J569" s="8" t="str">
        <f>IF([1]All!$E570=0,"",[1]All!$E570)</f>
        <v/>
      </c>
      <c r="K569" s="8" t="s">
        <v>445</v>
      </c>
      <c r="L569" s="11" t="str">
        <f>IF([1]All!$L570=0,"",[1]All!$L570)</f>
        <v/>
      </c>
      <c r="M569" s="7" t="str">
        <f>IF([1]All!$AJ570=0,"",[1]All!$AJ570)</f>
        <v/>
      </c>
      <c r="N569" s="7" t="str">
        <f>IF([1]All!$R570=0,"",[1]All!$R570)</f>
        <v/>
      </c>
      <c r="O569" s="7" t="str">
        <f>IF([1]All!$S570=0,"",[1]All!$S570)</f>
        <v/>
      </c>
      <c r="P569" s="7" t="str">
        <f>IF([1]All!$V570=0,"",[1]All!$V570)</f>
        <v/>
      </c>
      <c r="Q569" s="3" t="e">
        <f t="shared" si="53"/>
        <v>#VALUE!</v>
      </c>
      <c r="R569" s="8" t="str">
        <f>IF([1]All!$F570=0,"",[1]All!$F570)</f>
        <v/>
      </c>
    </row>
    <row r="570" spans="1:18">
      <c r="A570" s="7"/>
      <c r="B570" s="3" t="str">
        <f t="shared" si="49"/>
        <v/>
      </c>
      <c r="C570" s="3" t="str">
        <f t="shared" si="50"/>
        <v/>
      </c>
      <c r="D570" s="9" t="str">
        <f t="shared" si="51"/>
        <v/>
      </c>
      <c r="E570" s="3" t="str">
        <f t="shared" si="52"/>
        <v xml:space="preserve"> </v>
      </c>
      <c r="F570" s="10" t="e">
        <f t="shared" si="54"/>
        <v>#VALUE!</v>
      </c>
      <c r="G570" s="8" t="str">
        <f>IF([1]All!$B571="","",[1]All!$B571)</f>
        <v/>
      </c>
      <c r="H570" s="7"/>
      <c r="I570" s="8" t="str">
        <f>IF([1]All!$D571=0,"",[1]All!$D571)</f>
        <v/>
      </c>
      <c r="J570" s="8" t="str">
        <f>IF([1]All!$E571=0,"",[1]All!$E571)</f>
        <v/>
      </c>
      <c r="K570" s="8" t="s">
        <v>445</v>
      </c>
      <c r="L570" s="11" t="str">
        <f>IF([1]All!$L571=0,"",[1]All!$L571)</f>
        <v/>
      </c>
      <c r="M570" s="7" t="str">
        <f>IF([1]All!$AJ571=0,"",[1]All!$AJ571)</f>
        <v/>
      </c>
      <c r="N570" s="7" t="str">
        <f>IF([1]All!$R571=0,"",[1]All!$R571)</f>
        <v/>
      </c>
      <c r="O570" s="7" t="str">
        <f>IF([1]All!$S571=0,"",[1]All!$S571)</f>
        <v/>
      </c>
      <c r="P570" s="7" t="str">
        <f>IF([1]All!$V571=0,"",[1]All!$V571)</f>
        <v/>
      </c>
      <c r="Q570" s="3" t="e">
        <f t="shared" si="53"/>
        <v>#VALUE!</v>
      </c>
      <c r="R570" s="8" t="str">
        <f>IF([1]All!$F571=0,"",[1]All!$F571)</f>
        <v/>
      </c>
    </row>
    <row r="571" spans="1:18">
      <c r="A571" s="7"/>
      <c r="B571" s="3" t="str">
        <f t="shared" si="49"/>
        <v/>
      </c>
      <c r="C571" s="3" t="str">
        <f t="shared" si="50"/>
        <v/>
      </c>
      <c r="D571" s="9" t="str">
        <f t="shared" si="51"/>
        <v/>
      </c>
      <c r="E571" s="3" t="str">
        <f t="shared" si="52"/>
        <v xml:space="preserve"> </v>
      </c>
      <c r="F571" s="10" t="e">
        <f t="shared" si="54"/>
        <v>#VALUE!</v>
      </c>
      <c r="G571" s="8" t="str">
        <f>IF([1]All!$B572="","",[1]All!$B572)</f>
        <v/>
      </c>
      <c r="H571" s="7"/>
      <c r="I571" s="8" t="str">
        <f>IF([1]All!$D572=0,"",[1]All!$D572)</f>
        <v/>
      </c>
      <c r="J571" s="8" t="str">
        <f>IF([1]All!$E572=0,"",[1]All!$E572)</f>
        <v/>
      </c>
      <c r="K571" s="8" t="s">
        <v>445</v>
      </c>
      <c r="L571" s="11" t="str">
        <f>IF([1]All!$L572=0,"",[1]All!$L572)</f>
        <v/>
      </c>
      <c r="M571" s="7" t="str">
        <f>IF([1]All!$AJ572=0,"",[1]All!$AJ572)</f>
        <v/>
      </c>
      <c r="N571" s="7" t="str">
        <f>IF([1]All!$R572=0,"",[1]All!$R572)</f>
        <v/>
      </c>
      <c r="O571" s="7" t="str">
        <f>IF([1]All!$S572=0,"",[1]All!$S572)</f>
        <v/>
      </c>
      <c r="P571" s="7" t="str">
        <f>IF([1]All!$V572=0,"",[1]All!$V572)</f>
        <v/>
      </c>
      <c r="Q571" s="3" t="e">
        <f t="shared" si="53"/>
        <v>#VALUE!</v>
      </c>
      <c r="R571" s="8" t="str">
        <f>IF([1]All!$F572=0,"",[1]All!$F572)</f>
        <v/>
      </c>
    </row>
    <row r="572" spans="1:18">
      <c r="A572" s="7"/>
      <c r="B572" s="3" t="str">
        <f t="shared" si="49"/>
        <v/>
      </c>
      <c r="C572" s="3" t="str">
        <f t="shared" si="50"/>
        <v/>
      </c>
      <c r="D572" s="9" t="str">
        <f t="shared" si="51"/>
        <v/>
      </c>
      <c r="E572" s="3" t="str">
        <f t="shared" si="52"/>
        <v xml:space="preserve"> </v>
      </c>
      <c r="F572" s="10" t="e">
        <f t="shared" si="54"/>
        <v>#VALUE!</v>
      </c>
      <c r="G572" s="8" t="str">
        <f>IF([1]All!$B573="","",[1]All!$B573)</f>
        <v/>
      </c>
      <c r="H572" s="7"/>
      <c r="I572" s="8" t="str">
        <f>IF([1]All!$D573=0,"",[1]All!$D573)</f>
        <v/>
      </c>
      <c r="J572" s="8" t="str">
        <f>IF([1]All!$E573=0,"",[1]All!$E573)</f>
        <v/>
      </c>
      <c r="K572" s="8" t="s">
        <v>445</v>
      </c>
      <c r="L572" s="11" t="str">
        <f>IF([1]All!$L573=0,"",[1]All!$L573)</f>
        <v/>
      </c>
      <c r="M572" s="7" t="str">
        <f>IF([1]All!$AJ573=0,"",[1]All!$AJ573)</f>
        <v/>
      </c>
      <c r="N572" s="7" t="str">
        <f>IF([1]All!$R573=0,"",[1]All!$R573)</f>
        <v/>
      </c>
      <c r="O572" s="7" t="str">
        <f>IF([1]All!$S573=0,"",[1]All!$S573)</f>
        <v/>
      </c>
      <c r="P572" s="7" t="str">
        <f>IF([1]All!$V573=0,"",[1]All!$V573)</f>
        <v/>
      </c>
      <c r="Q572" s="3" t="e">
        <f t="shared" si="53"/>
        <v>#VALUE!</v>
      </c>
      <c r="R572" s="8" t="str">
        <f>IF([1]All!$F573=0,"",[1]All!$F573)</f>
        <v/>
      </c>
    </row>
    <row r="573" spans="1:18">
      <c r="A573" s="7"/>
      <c r="B573" s="3" t="str">
        <f t="shared" si="49"/>
        <v/>
      </c>
      <c r="C573" s="3" t="str">
        <f t="shared" si="50"/>
        <v/>
      </c>
      <c r="D573" s="9" t="str">
        <f t="shared" si="51"/>
        <v/>
      </c>
      <c r="E573" s="3" t="str">
        <f t="shared" si="52"/>
        <v xml:space="preserve"> </v>
      </c>
      <c r="F573" s="10" t="e">
        <f t="shared" si="54"/>
        <v>#VALUE!</v>
      </c>
      <c r="G573" s="8" t="str">
        <f>IF([1]All!$B574="","",[1]All!$B574)</f>
        <v/>
      </c>
      <c r="H573" s="7"/>
      <c r="I573" s="8" t="str">
        <f>IF([1]All!$D574=0,"",[1]All!$D574)</f>
        <v/>
      </c>
      <c r="J573" s="8" t="str">
        <f>IF([1]All!$E574=0,"",[1]All!$E574)</f>
        <v/>
      </c>
      <c r="K573" s="8" t="s">
        <v>445</v>
      </c>
      <c r="L573" s="11" t="str">
        <f>IF([1]All!$L574=0,"",[1]All!$L574)</f>
        <v/>
      </c>
      <c r="M573" s="7" t="str">
        <f>IF([1]All!$AJ574=0,"",[1]All!$AJ574)</f>
        <v/>
      </c>
      <c r="N573" s="7" t="str">
        <f>IF([1]All!$R574=0,"",[1]All!$R574)</f>
        <v/>
      </c>
      <c r="O573" s="7" t="str">
        <f>IF([1]All!$S574=0,"",[1]All!$S574)</f>
        <v/>
      </c>
      <c r="P573" s="7" t="str">
        <f>IF([1]All!$V574=0,"",[1]All!$V574)</f>
        <v/>
      </c>
      <c r="Q573" s="3" t="e">
        <f t="shared" si="53"/>
        <v>#VALUE!</v>
      </c>
      <c r="R573" s="8" t="str">
        <f>IF([1]All!$F574=0,"",[1]All!$F574)</f>
        <v/>
      </c>
    </row>
    <row r="574" spans="1:18">
      <c r="A574" s="7"/>
      <c r="B574" s="3" t="str">
        <f t="shared" si="49"/>
        <v/>
      </c>
      <c r="C574" s="3" t="str">
        <f t="shared" si="50"/>
        <v/>
      </c>
      <c r="D574" s="9" t="str">
        <f t="shared" si="51"/>
        <v/>
      </c>
      <c r="E574" s="3" t="str">
        <f t="shared" si="52"/>
        <v xml:space="preserve"> </v>
      </c>
      <c r="F574" s="10" t="e">
        <f t="shared" si="54"/>
        <v>#VALUE!</v>
      </c>
      <c r="G574" s="8" t="str">
        <f>IF([1]All!$B575="","",[1]All!$B575)</f>
        <v/>
      </c>
      <c r="H574" s="7"/>
      <c r="I574" s="8" t="str">
        <f>IF([1]All!$D575=0,"",[1]All!$D575)</f>
        <v/>
      </c>
      <c r="J574" s="8" t="str">
        <f>IF([1]All!$E575=0,"",[1]All!$E575)</f>
        <v/>
      </c>
      <c r="K574" s="8" t="s">
        <v>445</v>
      </c>
      <c r="L574" s="11" t="str">
        <f>IF([1]All!$L575=0,"",[1]All!$L575)</f>
        <v/>
      </c>
      <c r="M574" s="7" t="str">
        <f>IF([1]All!$AJ575=0,"",[1]All!$AJ575)</f>
        <v/>
      </c>
      <c r="N574" s="7" t="str">
        <f>IF([1]All!$R575=0,"",[1]All!$R575)</f>
        <v/>
      </c>
      <c r="O574" s="7" t="str">
        <f>IF([1]All!$S575=0,"",[1]All!$S575)</f>
        <v/>
      </c>
      <c r="P574" s="7" t="str">
        <f>IF([1]All!$V575=0,"",[1]All!$V575)</f>
        <v/>
      </c>
      <c r="Q574" s="3" t="e">
        <f t="shared" si="53"/>
        <v>#VALUE!</v>
      </c>
      <c r="R574" s="8" t="str">
        <f>IF([1]All!$F575=0,"",[1]All!$F575)</f>
        <v/>
      </c>
    </row>
    <row r="575" spans="1:18">
      <c r="A575" s="7"/>
      <c r="B575" s="3" t="str">
        <f t="shared" si="49"/>
        <v/>
      </c>
      <c r="C575" s="3" t="str">
        <f t="shared" si="50"/>
        <v/>
      </c>
      <c r="D575" s="9" t="str">
        <f t="shared" si="51"/>
        <v/>
      </c>
      <c r="E575" s="3" t="str">
        <f t="shared" si="52"/>
        <v xml:space="preserve"> </v>
      </c>
      <c r="F575" s="10" t="e">
        <f t="shared" si="54"/>
        <v>#VALUE!</v>
      </c>
      <c r="G575" s="8" t="str">
        <f>IF([1]All!$B576="","",[1]All!$B576)</f>
        <v/>
      </c>
      <c r="H575" s="7"/>
      <c r="I575" s="8" t="str">
        <f>IF([1]All!$D576=0,"",[1]All!$D576)</f>
        <v/>
      </c>
      <c r="J575" s="8" t="str">
        <f>IF([1]All!$E576=0,"",[1]All!$E576)</f>
        <v/>
      </c>
      <c r="K575" s="8" t="s">
        <v>445</v>
      </c>
      <c r="L575" s="11" t="str">
        <f>IF([1]All!$L576=0,"",[1]All!$L576)</f>
        <v/>
      </c>
      <c r="M575" s="7" t="str">
        <f>IF([1]All!$AJ576=0,"",[1]All!$AJ576)</f>
        <v/>
      </c>
      <c r="N575" s="7" t="str">
        <f>IF([1]All!$R576=0,"",[1]All!$R576)</f>
        <v/>
      </c>
      <c r="O575" s="7" t="str">
        <f>IF([1]All!$S576=0,"",[1]All!$S576)</f>
        <v/>
      </c>
      <c r="P575" s="7" t="str">
        <f>IF([1]All!$V576=0,"",[1]All!$V576)</f>
        <v/>
      </c>
      <c r="Q575" s="3" t="e">
        <f t="shared" si="53"/>
        <v>#VALUE!</v>
      </c>
      <c r="R575" s="8" t="str">
        <f>IF([1]All!$F576=0,"",[1]All!$F576)</f>
        <v/>
      </c>
    </row>
    <row r="576" spans="1:18">
      <c r="A576" s="7"/>
      <c r="B576" s="3" t="str">
        <f t="shared" si="49"/>
        <v/>
      </c>
      <c r="C576" s="3" t="str">
        <f t="shared" si="50"/>
        <v/>
      </c>
      <c r="D576" s="9" t="str">
        <f t="shared" si="51"/>
        <v/>
      </c>
      <c r="E576" s="3" t="str">
        <f t="shared" si="52"/>
        <v xml:space="preserve"> </v>
      </c>
      <c r="F576" s="10" t="e">
        <f t="shared" si="54"/>
        <v>#VALUE!</v>
      </c>
      <c r="G576" s="8" t="str">
        <f>IF([1]All!$B577="","",[1]All!$B577)</f>
        <v/>
      </c>
      <c r="H576" s="7"/>
      <c r="I576" s="8" t="str">
        <f>IF([1]All!$D577=0,"",[1]All!$D577)</f>
        <v/>
      </c>
      <c r="J576" s="8" t="str">
        <f>IF([1]All!$E577=0,"",[1]All!$E577)</f>
        <v/>
      </c>
      <c r="K576" s="8" t="s">
        <v>445</v>
      </c>
      <c r="L576" s="11" t="str">
        <f>IF([1]All!$L577=0,"",[1]All!$L577)</f>
        <v/>
      </c>
      <c r="M576" s="7" t="str">
        <f>IF([1]All!$AJ577=0,"",[1]All!$AJ577)</f>
        <v/>
      </c>
      <c r="N576" s="7" t="str">
        <f>IF([1]All!$R577=0,"",[1]All!$R577)</f>
        <v/>
      </c>
      <c r="O576" s="7" t="str">
        <f>IF([1]All!$S577=0,"",[1]All!$S577)</f>
        <v/>
      </c>
      <c r="P576" s="7" t="str">
        <f>IF([1]All!$V577=0,"",[1]All!$V577)</f>
        <v/>
      </c>
      <c r="Q576" s="3" t="e">
        <f t="shared" si="53"/>
        <v>#VALUE!</v>
      </c>
      <c r="R576" s="8" t="str">
        <f>IF([1]All!$F577=0,"",[1]All!$F577)</f>
        <v/>
      </c>
    </row>
    <row r="577" spans="1:18">
      <c r="A577" s="7"/>
      <c r="B577" s="3" t="str">
        <f t="shared" si="49"/>
        <v/>
      </c>
      <c r="C577" s="3" t="str">
        <f t="shared" si="50"/>
        <v/>
      </c>
      <c r="D577" s="9" t="str">
        <f t="shared" si="51"/>
        <v/>
      </c>
      <c r="E577" s="3" t="str">
        <f t="shared" si="52"/>
        <v xml:space="preserve"> </v>
      </c>
      <c r="F577" s="10" t="e">
        <f t="shared" si="54"/>
        <v>#VALUE!</v>
      </c>
      <c r="G577" s="8" t="str">
        <f>IF([1]All!$B578="","",[1]All!$B578)</f>
        <v/>
      </c>
      <c r="H577" s="7"/>
      <c r="I577" s="8" t="str">
        <f>IF([1]All!$D578=0,"",[1]All!$D578)</f>
        <v/>
      </c>
      <c r="J577" s="8" t="str">
        <f>IF([1]All!$E578=0,"",[1]All!$E578)</f>
        <v/>
      </c>
      <c r="K577" s="8" t="s">
        <v>445</v>
      </c>
      <c r="L577" s="11" t="str">
        <f>IF([1]All!$L578=0,"",[1]All!$L578)</f>
        <v/>
      </c>
      <c r="M577" s="7" t="str">
        <f>IF([1]All!$AJ578=0,"",[1]All!$AJ578)</f>
        <v/>
      </c>
      <c r="N577" s="7" t="str">
        <f>IF([1]All!$R578=0,"",[1]All!$R578)</f>
        <v/>
      </c>
      <c r="O577" s="7" t="str">
        <f>IF([1]All!$S578=0,"",[1]All!$S578)</f>
        <v/>
      </c>
      <c r="P577" s="7" t="str">
        <f>IF([1]All!$V578=0,"",[1]All!$V578)</f>
        <v/>
      </c>
      <c r="Q577" s="3" t="e">
        <f t="shared" si="53"/>
        <v>#VALUE!</v>
      </c>
      <c r="R577" s="8" t="str">
        <f>IF([1]All!$F578=0,"",[1]All!$F578)</f>
        <v/>
      </c>
    </row>
    <row r="578" spans="1:18">
      <c r="A578" s="7"/>
      <c r="B578" s="3" t="str">
        <f t="shared" si="49"/>
        <v/>
      </c>
      <c r="C578" s="3" t="str">
        <f t="shared" si="50"/>
        <v/>
      </c>
      <c r="D578" s="9" t="str">
        <f t="shared" si="51"/>
        <v/>
      </c>
      <c r="E578" s="3" t="str">
        <f t="shared" si="52"/>
        <v xml:space="preserve"> </v>
      </c>
      <c r="F578" s="10" t="e">
        <f t="shared" si="54"/>
        <v>#VALUE!</v>
      </c>
      <c r="G578" s="8" t="str">
        <f>IF([1]All!$B579="","",[1]All!$B579)</f>
        <v/>
      </c>
      <c r="H578" s="7"/>
      <c r="I578" s="8" t="str">
        <f>IF([1]All!$D579=0,"",[1]All!$D579)</f>
        <v/>
      </c>
      <c r="J578" s="8" t="str">
        <f>IF([1]All!$E579=0,"",[1]All!$E579)</f>
        <v/>
      </c>
      <c r="K578" s="8" t="s">
        <v>445</v>
      </c>
      <c r="L578" s="11" t="str">
        <f>IF([1]All!$L579=0,"",[1]All!$L579)</f>
        <v/>
      </c>
      <c r="M578" s="7" t="str">
        <f>IF([1]All!$AJ579=0,"",[1]All!$AJ579)</f>
        <v/>
      </c>
      <c r="N578" s="7" t="str">
        <f>IF([1]All!$R579=0,"",[1]All!$R579)</f>
        <v/>
      </c>
      <c r="O578" s="7" t="str">
        <f>IF([1]All!$S579=0,"",[1]All!$S579)</f>
        <v/>
      </c>
      <c r="P578" s="7" t="str">
        <f>IF([1]All!$V579=0,"",[1]All!$V579)</f>
        <v/>
      </c>
      <c r="Q578" s="3" t="e">
        <f t="shared" si="53"/>
        <v>#VALUE!</v>
      </c>
      <c r="R578" s="8" t="str">
        <f>IF([1]All!$F579=0,"",[1]All!$F579)</f>
        <v/>
      </c>
    </row>
    <row r="579" spans="1:18">
      <c r="A579" s="7"/>
      <c r="B579" s="3" t="str">
        <f t="shared" si="49"/>
        <v/>
      </c>
      <c r="C579" s="3" t="str">
        <f t="shared" si="50"/>
        <v/>
      </c>
      <c r="D579" s="9" t="str">
        <f t="shared" si="51"/>
        <v/>
      </c>
      <c r="E579" s="3" t="str">
        <f t="shared" si="52"/>
        <v xml:space="preserve"> </v>
      </c>
      <c r="F579" s="10" t="e">
        <f t="shared" si="54"/>
        <v>#VALUE!</v>
      </c>
      <c r="G579" s="8" t="str">
        <f>IF([1]All!$B580="","",[1]All!$B580)</f>
        <v/>
      </c>
      <c r="H579" s="7"/>
      <c r="I579" s="8" t="str">
        <f>IF([1]All!$D580=0,"",[1]All!$D580)</f>
        <v/>
      </c>
      <c r="J579" s="8" t="str">
        <f>IF([1]All!$E580=0,"",[1]All!$E580)</f>
        <v/>
      </c>
      <c r="K579" s="8" t="s">
        <v>445</v>
      </c>
      <c r="L579" s="11" t="str">
        <f>IF([1]All!$L580=0,"",[1]All!$L580)</f>
        <v/>
      </c>
      <c r="M579" s="7" t="str">
        <f>IF([1]All!$AJ580=0,"",[1]All!$AJ580)</f>
        <v/>
      </c>
      <c r="N579" s="7" t="str">
        <f>IF([1]All!$R580=0,"",[1]All!$R580)</f>
        <v/>
      </c>
      <c r="O579" s="7" t="str">
        <f>IF([1]All!$S580=0,"",[1]All!$S580)</f>
        <v/>
      </c>
      <c r="P579" s="7" t="str">
        <f>IF([1]All!$V580=0,"",[1]All!$V580)</f>
        <v/>
      </c>
      <c r="Q579" s="3" t="e">
        <f t="shared" si="53"/>
        <v>#VALUE!</v>
      </c>
      <c r="R579" s="8" t="str">
        <f>IF([1]All!$F580=0,"",[1]All!$F580)</f>
        <v/>
      </c>
    </row>
    <row r="580" spans="1:18">
      <c r="A580" s="7"/>
      <c r="B580" s="3" t="str">
        <f t="shared" ref="B580:B607" si="55">IF(C580="","",CODE(C580))</f>
        <v/>
      </c>
      <c r="C580" s="3" t="str">
        <f t="shared" ref="C580:C607" si="56">I580</f>
        <v/>
      </c>
      <c r="D580" s="9" t="str">
        <f t="shared" ref="D580:D607" si="57">K580</f>
        <v/>
      </c>
      <c r="E580" s="3" t="str">
        <f t="shared" ref="E580:E607" si="58">G580&amp;" "&amp;D580</f>
        <v xml:space="preserve"> </v>
      </c>
      <c r="F580" s="10" t="e">
        <f t="shared" si="54"/>
        <v>#VALUE!</v>
      </c>
      <c r="G580" s="8" t="str">
        <f>IF([1]All!$B581="","",[1]All!$B581)</f>
        <v/>
      </c>
      <c r="H580" s="7"/>
      <c r="I580" s="8" t="str">
        <f>IF([1]All!$D581=0,"",[1]All!$D581)</f>
        <v/>
      </c>
      <c r="J580" s="8" t="str">
        <f>IF([1]All!$E581=0,"",[1]All!$E581)</f>
        <v/>
      </c>
      <c r="K580" s="8" t="s">
        <v>445</v>
      </c>
      <c r="L580" s="11" t="str">
        <f>IF([1]All!$L581=0,"",[1]All!$L581)</f>
        <v/>
      </c>
      <c r="M580" s="7" t="str">
        <f>IF([1]All!$AJ581=0,"",[1]All!$AJ581)</f>
        <v/>
      </c>
      <c r="N580" s="7" t="str">
        <f>IF([1]All!$R581=0,"",[1]All!$R581)</f>
        <v/>
      </c>
      <c r="O580" s="7" t="str">
        <f>IF([1]All!$S581=0,"",[1]All!$S581)</f>
        <v/>
      </c>
      <c r="P580" s="7" t="str">
        <f>IF([1]All!$V581=0,"",[1]All!$V581)</f>
        <v/>
      </c>
      <c r="Q580" s="3" t="e">
        <f t="shared" ref="Q580:Q607" si="59">IF(ISERROR(FIND(".",P580*0.01)),"$"&amp;P580*0.01&amp;".00",IF(FIND(".",P580*0.01)&lt;LEN(P580*0.01)-1,"$"&amp;P580*0.01,"$"&amp;P580*0.01&amp;"0"))</f>
        <v>#VALUE!</v>
      </c>
      <c r="R580" s="8" t="str">
        <f>IF([1]All!$F581=0,"",[1]All!$F581)</f>
        <v/>
      </c>
    </row>
    <row r="581" spans="1:18">
      <c r="A581" s="7"/>
      <c r="B581" s="3" t="str">
        <f t="shared" si="55"/>
        <v/>
      </c>
      <c r="C581" s="3" t="str">
        <f t="shared" si="56"/>
        <v/>
      </c>
      <c r="D581" s="9" t="str">
        <f t="shared" si="57"/>
        <v/>
      </c>
      <c r="E581" s="3" t="str">
        <f t="shared" si="58"/>
        <v xml:space="preserve"> </v>
      </c>
      <c r="F581" s="10" t="e">
        <f t="shared" ref="F581:F607" si="60">$A$2&amp;":-:"&amp;"PLISN: "&amp;$G581&amp;":-:"&amp;$A$4&amp;" :-: "&amp;"CAGE: "&amp;J581&amp;":-:"&amp;"PART NUMBER: " &amp; R581&amp;":-:NOMENCLATURE: "&amp;L581&amp;":-:PRICE: " &amp; Q581&amp;":-:"&amp;$A$9&amp;":-:"&amp;$A$10&amp;":-: :-: :-: :-:"&amp;IF(N581="","","NSN: "&amp;N581&amp;O581)&amp;IF(M581="",""," :-: NHA: "&amp;VLOOKUP(M581,G$2:L$65000,5,FALSE)&amp;IF(VLOOKUP(M581,G$2:O$65000,8,FALSE)="",""," :-: NHA NSN: "&amp;VLOOKUP(M581,G$2:O$65000,8,FALSE)&amp;VLOOKUP(M581,G$2:O$65000,9,FALSE)))</f>
        <v>#VALUE!</v>
      </c>
      <c r="G581" s="8" t="str">
        <f>IF([1]All!$B582="","",[1]All!$B582)</f>
        <v/>
      </c>
      <c r="H581" s="7"/>
      <c r="I581" s="8" t="str">
        <f>IF([1]All!$D582=0,"",[1]All!$D582)</f>
        <v/>
      </c>
      <c r="J581" s="8" t="str">
        <f>IF([1]All!$E582=0,"",[1]All!$E582)</f>
        <v/>
      </c>
      <c r="K581" s="8" t="s">
        <v>445</v>
      </c>
      <c r="L581" s="11" t="str">
        <f>IF([1]All!$L582=0,"",[1]All!$L582)</f>
        <v/>
      </c>
      <c r="M581" s="7" t="str">
        <f>IF([1]All!$AJ582=0,"",[1]All!$AJ582)</f>
        <v/>
      </c>
      <c r="N581" s="7" t="str">
        <f>IF([1]All!$R582=0,"",[1]All!$R582)</f>
        <v/>
      </c>
      <c r="O581" s="7" t="str">
        <f>IF([1]All!$S582=0,"",[1]All!$S582)</f>
        <v/>
      </c>
      <c r="P581" s="7" t="str">
        <f>IF([1]All!$V582=0,"",[1]All!$V582)</f>
        <v/>
      </c>
      <c r="Q581" s="3" t="e">
        <f t="shared" si="59"/>
        <v>#VALUE!</v>
      </c>
      <c r="R581" s="8" t="str">
        <f>IF([1]All!$F582=0,"",[1]All!$F582)</f>
        <v/>
      </c>
    </row>
    <row r="582" spans="1:18">
      <c r="A582" s="7"/>
      <c r="B582" s="3" t="str">
        <f t="shared" si="55"/>
        <v/>
      </c>
      <c r="C582" s="3" t="str">
        <f t="shared" si="56"/>
        <v/>
      </c>
      <c r="D582" s="9" t="str">
        <f t="shared" si="57"/>
        <v/>
      </c>
      <c r="E582" s="3" t="str">
        <f t="shared" si="58"/>
        <v xml:space="preserve"> </v>
      </c>
      <c r="F582" s="10" t="e">
        <f t="shared" si="60"/>
        <v>#VALUE!</v>
      </c>
      <c r="G582" s="8" t="str">
        <f>IF([1]All!$B583="","",[1]All!$B583)</f>
        <v/>
      </c>
      <c r="H582" s="7"/>
      <c r="I582" s="8" t="str">
        <f>IF([1]All!$D583=0,"",[1]All!$D583)</f>
        <v/>
      </c>
      <c r="J582" s="8" t="str">
        <f>IF([1]All!$E583=0,"",[1]All!$E583)</f>
        <v/>
      </c>
      <c r="K582" s="8" t="s">
        <v>445</v>
      </c>
      <c r="L582" s="11" t="str">
        <f>IF([1]All!$L583=0,"",[1]All!$L583)</f>
        <v/>
      </c>
      <c r="M582" s="7" t="str">
        <f>IF([1]All!$AJ583=0,"",[1]All!$AJ583)</f>
        <v/>
      </c>
      <c r="N582" s="7" t="str">
        <f>IF([1]All!$R583=0,"",[1]All!$R583)</f>
        <v/>
      </c>
      <c r="O582" s="7" t="str">
        <f>IF([1]All!$S583=0,"",[1]All!$S583)</f>
        <v/>
      </c>
      <c r="P582" s="7" t="str">
        <f>IF([1]All!$V583=0,"",[1]All!$V583)</f>
        <v/>
      </c>
      <c r="Q582" s="3" t="e">
        <f t="shared" si="59"/>
        <v>#VALUE!</v>
      </c>
      <c r="R582" s="8" t="str">
        <f>IF([1]All!$F583=0,"",[1]All!$F583)</f>
        <v/>
      </c>
    </row>
    <row r="583" spans="1:18">
      <c r="A583" s="7"/>
      <c r="B583" s="3" t="str">
        <f t="shared" si="55"/>
        <v/>
      </c>
      <c r="C583" s="3" t="str">
        <f t="shared" si="56"/>
        <v/>
      </c>
      <c r="D583" s="9" t="str">
        <f t="shared" si="57"/>
        <v/>
      </c>
      <c r="E583" s="3" t="str">
        <f t="shared" si="58"/>
        <v xml:space="preserve"> </v>
      </c>
      <c r="F583" s="10" t="e">
        <f t="shared" si="60"/>
        <v>#VALUE!</v>
      </c>
      <c r="G583" s="8" t="str">
        <f>IF([1]All!$B584="","",[1]All!$B584)</f>
        <v/>
      </c>
      <c r="H583" s="7"/>
      <c r="I583" s="8" t="str">
        <f>IF([1]All!$D584=0,"",[1]All!$D584)</f>
        <v/>
      </c>
      <c r="J583" s="8" t="str">
        <f>IF([1]All!$E584=0,"",[1]All!$E584)</f>
        <v/>
      </c>
      <c r="K583" s="8" t="s">
        <v>445</v>
      </c>
      <c r="L583" s="11" t="str">
        <f>IF([1]All!$L584=0,"",[1]All!$L584)</f>
        <v/>
      </c>
      <c r="M583" s="7" t="str">
        <f>IF([1]All!$AJ584=0,"",[1]All!$AJ584)</f>
        <v/>
      </c>
      <c r="N583" s="7" t="str">
        <f>IF([1]All!$R584=0,"",[1]All!$R584)</f>
        <v/>
      </c>
      <c r="O583" s="7" t="str">
        <f>IF([1]All!$S584=0,"",[1]All!$S584)</f>
        <v/>
      </c>
      <c r="P583" s="7" t="str">
        <f>IF([1]All!$V584=0,"",[1]All!$V584)</f>
        <v/>
      </c>
      <c r="Q583" s="3" t="e">
        <f t="shared" si="59"/>
        <v>#VALUE!</v>
      </c>
      <c r="R583" s="8" t="str">
        <f>IF([1]All!$F584=0,"",[1]All!$F584)</f>
        <v/>
      </c>
    </row>
    <row r="584" spans="1:18">
      <c r="A584" s="7"/>
      <c r="B584" s="3" t="str">
        <f t="shared" si="55"/>
        <v/>
      </c>
      <c r="C584" s="3" t="str">
        <f t="shared" si="56"/>
        <v/>
      </c>
      <c r="D584" s="9" t="str">
        <f t="shared" si="57"/>
        <v/>
      </c>
      <c r="E584" s="3" t="str">
        <f t="shared" si="58"/>
        <v xml:space="preserve"> </v>
      </c>
      <c r="F584" s="10" t="e">
        <f t="shared" si="60"/>
        <v>#VALUE!</v>
      </c>
      <c r="G584" s="8" t="str">
        <f>IF([1]All!$B585="","",[1]All!$B585)</f>
        <v/>
      </c>
      <c r="H584" s="7"/>
      <c r="I584" s="8" t="str">
        <f>IF([1]All!$D585=0,"",[1]All!$D585)</f>
        <v/>
      </c>
      <c r="J584" s="8" t="str">
        <f>IF([1]All!$E585=0,"",[1]All!$E585)</f>
        <v/>
      </c>
      <c r="K584" s="8" t="s">
        <v>445</v>
      </c>
      <c r="L584" s="11" t="str">
        <f>IF([1]All!$L585=0,"",[1]All!$L585)</f>
        <v/>
      </c>
      <c r="M584" s="7" t="str">
        <f>IF([1]All!$AJ585=0,"",[1]All!$AJ585)</f>
        <v/>
      </c>
      <c r="N584" s="7" t="str">
        <f>IF([1]All!$R585=0,"",[1]All!$R585)</f>
        <v/>
      </c>
      <c r="O584" s="7" t="str">
        <f>IF([1]All!$S585=0,"",[1]All!$S585)</f>
        <v/>
      </c>
      <c r="P584" s="7" t="str">
        <f>IF([1]All!$V585=0,"",[1]All!$V585)</f>
        <v/>
      </c>
      <c r="Q584" s="3" t="e">
        <f t="shared" si="59"/>
        <v>#VALUE!</v>
      </c>
      <c r="R584" s="8" t="str">
        <f>IF([1]All!$F585=0,"",[1]All!$F585)</f>
        <v/>
      </c>
    </row>
    <row r="585" spans="1:18">
      <c r="A585" s="7"/>
      <c r="B585" s="3" t="str">
        <f t="shared" si="55"/>
        <v/>
      </c>
      <c r="C585" s="3" t="str">
        <f t="shared" si="56"/>
        <v/>
      </c>
      <c r="D585" s="9" t="str">
        <f t="shared" si="57"/>
        <v/>
      </c>
      <c r="E585" s="3" t="str">
        <f t="shared" si="58"/>
        <v xml:space="preserve"> </v>
      </c>
      <c r="F585" s="10" t="e">
        <f t="shared" si="60"/>
        <v>#VALUE!</v>
      </c>
      <c r="G585" s="8" t="str">
        <f>IF([1]All!$B586="","",[1]All!$B586)</f>
        <v/>
      </c>
      <c r="H585" s="7"/>
      <c r="I585" s="8" t="str">
        <f>IF([1]All!$D586=0,"",[1]All!$D586)</f>
        <v/>
      </c>
      <c r="J585" s="8" t="str">
        <f>IF([1]All!$E586=0,"",[1]All!$E586)</f>
        <v/>
      </c>
      <c r="K585" s="8" t="s">
        <v>445</v>
      </c>
      <c r="L585" s="11" t="str">
        <f>IF([1]All!$L586=0,"",[1]All!$L586)</f>
        <v/>
      </c>
      <c r="M585" s="7" t="str">
        <f>IF([1]All!$AJ586=0,"",[1]All!$AJ586)</f>
        <v/>
      </c>
      <c r="N585" s="7" t="str">
        <f>IF([1]All!$R586=0,"",[1]All!$R586)</f>
        <v/>
      </c>
      <c r="O585" s="7" t="str">
        <f>IF([1]All!$S586=0,"",[1]All!$S586)</f>
        <v/>
      </c>
      <c r="P585" s="7" t="str">
        <f>IF([1]All!$V586=0,"",[1]All!$V586)</f>
        <v/>
      </c>
      <c r="Q585" s="3" t="e">
        <f t="shared" si="59"/>
        <v>#VALUE!</v>
      </c>
      <c r="R585" s="8" t="str">
        <f>IF([1]All!$F586=0,"",[1]All!$F586)</f>
        <v/>
      </c>
    </row>
    <row r="586" spans="1:18">
      <c r="A586" s="7"/>
      <c r="B586" s="3" t="str">
        <f t="shared" si="55"/>
        <v/>
      </c>
      <c r="C586" s="3" t="str">
        <f t="shared" si="56"/>
        <v/>
      </c>
      <c r="D586" s="9" t="str">
        <f t="shared" si="57"/>
        <v/>
      </c>
      <c r="E586" s="3" t="str">
        <f t="shared" si="58"/>
        <v xml:space="preserve"> </v>
      </c>
      <c r="F586" s="10" t="e">
        <f t="shared" si="60"/>
        <v>#VALUE!</v>
      </c>
      <c r="G586" s="8" t="str">
        <f>IF([1]All!$B587="","",[1]All!$B587)</f>
        <v/>
      </c>
      <c r="H586" s="7"/>
      <c r="I586" s="8" t="str">
        <f>IF([1]All!$D587=0,"",[1]All!$D587)</f>
        <v/>
      </c>
      <c r="J586" s="8" t="str">
        <f>IF([1]All!$E587=0,"",[1]All!$E587)</f>
        <v/>
      </c>
      <c r="K586" s="8" t="s">
        <v>445</v>
      </c>
      <c r="L586" s="11" t="str">
        <f>IF([1]All!$L587=0,"",[1]All!$L587)</f>
        <v/>
      </c>
      <c r="M586" s="7" t="str">
        <f>IF([1]All!$AJ587=0,"",[1]All!$AJ587)</f>
        <v/>
      </c>
      <c r="N586" s="7" t="str">
        <f>IF([1]All!$R587=0,"",[1]All!$R587)</f>
        <v/>
      </c>
      <c r="O586" s="7" t="str">
        <f>IF([1]All!$S587=0,"",[1]All!$S587)</f>
        <v/>
      </c>
      <c r="P586" s="7" t="str">
        <f>IF([1]All!$V587=0,"",[1]All!$V587)</f>
        <v/>
      </c>
      <c r="Q586" s="3" t="e">
        <f t="shared" si="59"/>
        <v>#VALUE!</v>
      </c>
      <c r="R586" s="8" t="str">
        <f>IF([1]All!$F587=0,"",[1]All!$F587)</f>
        <v/>
      </c>
    </row>
    <row r="587" spans="1:18">
      <c r="A587" s="7"/>
      <c r="B587" s="3" t="str">
        <f t="shared" si="55"/>
        <v/>
      </c>
      <c r="C587" s="3" t="str">
        <f t="shared" si="56"/>
        <v/>
      </c>
      <c r="D587" s="9" t="str">
        <f t="shared" si="57"/>
        <v/>
      </c>
      <c r="E587" s="3" t="str">
        <f t="shared" si="58"/>
        <v xml:space="preserve"> </v>
      </c>
      <c r="F587" s="10" t="e">
        <f t="shared" si="60"/>
        <v>#VALUE!</v>
      </c>
      <c r="G587" s="8" t="str">
        <f>IF([1]All!$B588="","",[1]All!$B588)</f>
        <v/>
      </c>
      <c r="H587" s="7"/>
      <c r="I587" s="8" t="str">
        <f>IF([1]All!$D588=0,"",[1]All!$D588)</f>
        <v/>
      </c>
      <c r="J587" s="8" t="str">
        <f>IF([1]All!$E588=0,"",[1]All!$E588)</f>
        <v/>
      </c>
      <c r="K587" s="8" t="s">
        <v>445</v>
      </c>
      <c r="L587" s="11" t="str">
        <f>IF([1]All!$L588=0,"",[1]All!$L588)</f>
        <v/>
      </c>
      <c r="M587" s="7" t="str">
        <f>IF([1]All!$AJ588=0,"",[1]All!$AJ588)</f>
        <v/>
      </c>
      <c r="N587" s="7" t="str">
        <f>IF([1]All!$R588=0,"",[1]All!$R588)</f>
        <v/>
      </c>
      <c r="O587" s="7" t="str">
        <f>IF([1]All!$S588=0,"",[1]All!$S588)</f>
        <v/>
      </c>
      <c r="P587" s="7" t="str">
        <f>IF([1]All!$V588=0,"",[1]All!$V588)</f>
        <v/>
      </c>
      <c r="Q587" s="3" t="e">
        <f t="shared" si="59"/>
        <v>#VALUE!</v>
      </c>
      <c r="R587" s="8" t="str">
        <f>IF([1]All!$F588=0,"",[1]All!$F588)</f>
        <v/>
      </c>
    </row>
    <row r="588" spans="1:18">
      <c r="A588" s="7"/>
      <c r="B588" s="3" t="str">
        <f t="shared" si="55"/>
        <v/>
      </c>
      <c r="C588" s="3" t="str">
        <f t="shared" si="56"/>
        <v/>
      </c>
      <c r="D588" s="9" t="str">
        <f t="shared" si="57"/>
        <v/>
      </c>
      <c r="E588" s="3" t="str">
        <f t="shared" si="58"/>
        <v xml:space="preserve"> </v>
      </c>
      <c r="F588" s="10" t="e">
        <f t="shared" si="60"/>
        <v>#VALUE!</v>
      </c>
      <c r="G588" s="8" t="str">
        <f>IF([1]All!$B589="","",[1]All!$B589)</f>
        <v/>
      </c>
      <c r="H588" s="7"/>
      <c r="I588" s="8" t="str">
        <f>IF([1]All!$D589=0,"",[1]All!$D589)</f>
        <v/>
      </c>
      <c r="J588" s="8" t="str">
        <f>IF([1]All!$E589=0,"",[1]All!$E589)</f>
        <v/>
      </c>
      <c r="K588" s="8" t="s">
        <v>445</v>
      </c>
      <c r="L588" s="11" t="str">
        <f>IF([1]All!$L589=0,"",[1]All!$L589)</f>
        <v/>
      </c>
      <c r="M588" s="7" t="str">
        <f>IF([1]All!$AJ589=0,"",[1]All!$AJ589)</f>
        <v/>
      </c>
      <c r="N588" s="7" t="str">
        <f>IF([1]All!$R589=0,"",[1]All!$R589)</f>
        <v/>
      </c>
      <c r="O588" s="7" t="str">
        <f>IF([1]All!$S589=0,"",[1]All!$S589)</f>
        <v/>
      </c>
      <c r="P588" s="7" t="str">
        <f>IF([1]All!$V589=0,"",[1]All!$V589)</f>
        <v/>
      </c>
      <c r="Q588" s="3" t="e">
        <f t="shared" si="59"/>
        <v>#VALUE!</v>
      </c>
      <c r="R588" s="8" t="str">
        <f>IF([1]All!$F589=0,"",[1]All!$F589)</f>
        <v/>
      </c>
    </row>
    <row r="589" spans="1:18">
      <c r="A589" s="7"/>
      <c r="B589" s="3" t="str">
        <f t="shared" si="55"/>
        <v/>
      </c>
      <c r="C589" s="3" t="str">
        <f t="shared" si="56"/>
        <v/>
      </c>
      <c r="D589" s="9" t="str">
        <f t="shared" si="57"/>
        <v/>
      </c>
      <c r="E589" s="3" t="str">
        <f t="shared" si="58"/>
        <v xml:space="preserve"> </v>
      </c>
      <c r="F589" s="10" t="e">
        <f t="shared" si="60"/>
        <v>#VALUE!</v>
      </c>
      <c r="G589" s="8" t="str">
        <f>IF([1]All!$B590="","",[1]All!$B590)</f>
        <v/>
      </c>
      <c r="H589" s="7"/>
      <c r="I589" s="8" t="str">
        <f>IF([1]All!$D590=0,"",[1]All!$D590)</f>
        <v/>
      </c>
      <c r="J589" s="8" t="str">
        <f>IF([1]All!$E590=0,"",[1]All!$E590)</f>
        <v/>
      </c>
      <c r="K589" s="8" t="s">
        <v>445</v>
      </c>
      <c r="L589" s="11" t="str">
        <f>IF([1]All!$L590=0,"",[1]All!$L590)</f>
        <v/>
      </c>
      <c r="M589" s="7" t="str">
        <f>IF([1]All!$AJ590=0,"",[1]All!$AJ590)</f>
        <v/>
      </c>
      <c r="N589" s="7" t="str">
        <f>IF([1]All!$R590=0,"",[1]All!$R590)</f>
        <v/>
      </c>
      <c r="O589" s="7" t="str">
        <f>IF([1]All!$S590=0,"",[1]All!$S590)</f>
        <v/>
      </c>
      <c r="P589" s="7" t="str">
        <f>IF([1]All!$V590=0,"",[1]All!$V590)</f>
        <v/>
      </c>
      <c r="Q589" s="3" t="e">
        <f t="shared" si="59"/>
        <v>#VALUE!</v>
      </c>
      <c r="R589" s="8" t="str">
        <f>IF([1]All!$F590=0,"",[1]All!$F590)</f>
        <v/>
      </c>
    </row>
    <row r="590" spans="1:18">
      <c r="A590" s="7"/>
      <c r="B590" s="3" t="str">
        <f t="shared" si="55"/>
        <v/>
      </c>
      <c r="C590" s="3" t="str">
        <f t="shared" si="56"/>
        <v/>
      </c>
      <c r="D590" s="9" t="str">
        <f t="shared" si="57"/>
        <v/>
      </c>
      <c r="E590" s="3" t="str">
        <f t="shared" si="58"/>
        <v xml:space="preserve"> </v>
      </c>
      <c r="F590" s="10" t="e">
        <f t="shared" si="60"/>
        <v>#VALUE!</v>
      </c>
      <c r="G590" s="8" t="str">
        <f>IF([1]All!$B591="","",[1]All!$B591)</f>
        <v/>
      </c>
      <c r="H590" s="7"/>
      <c r="I590" s="8" t="str">
        <f>IF([1]All!$D591=0,"",[1]All!$D591)</f>
        <v/>
      </c>
      <c r="J590" s="8" t="str">
        <f>IF([1]All!$E591=0,"",[1]All!$E591)</f>
        <v/>
      </c>
      <c r="K590" s="8" t="s">
        <v>445</v>
      </c>
      <c r="L590" s="11" t="str">
        <f>IF([1]All!$L591=0,"",[1]All!$L591)</f>
        <v/>
      </c>
      <c r="M590" s="7" t="str">
        <f>IF([1]All!$AJ591=0,"",[1]All!$AJ591)</f>
        <v/>
      </c>
      <c r="N590" s="7" t="str">
        <f>IF([1]All!$R591=0,"",[1]All!$R591)</f>
        <v/>
      </c>
      <c r="O590" s="7" t="str">
        <f>IF([1]All!$S591=0,"",[1]All!$S591)</f>
        <v/>
      </c>
      <c r="P590" s="7" t="str">
        <f>IF([1]All!$V591=0,"",[1]All!$V591)</f>
        <v/>
      </c>
      <c r="Q590" s="3" t="e">
        <f t="shared" si="59"/>
        <v>#VALUE!</v>
      </c>
      <c r="R590" s="8" t="str">
        <f>IF([1]All!$F591=0,"",[1]All!$F591)</f>
        <v/>
      </c>
    </row>
    <row r="591" spans="1:18">
      <c r="A591" s="7"/>
      <c r="B591" s="3" t="str">
        <f t="shared" si="55"/>
        <v/>
      </c>
      <c r="C591" s="3" t="str">
        <f t="shared" si="56"/>
        <v/>
      </c>
      <c r="D591" s="9" t="str">
        <f t="shared" si="57"/>
        <v/>
      </c>
      <c r="E591" s="3" t="str">
        <f t="shared" si="58"/>
        <v xml:space="preserve"> </v>
      </c>
      <c r="F591" s="10" t="e">
        <f t="shared" si="60"/>
        <v>#VALUE!</v>
      </c>
      <c r="G591" s="8" t="str">
        <f>IF([1]All!$B592="","",[1]All!$B592)</f>
        <v/>
      </c>
      <c r="H591" s="7"/>
      <c r="I591" s="8" t="str">
        <f>IF([1]All!$D592=0,"",[1]All!$D592)</f>
        <v/>
      </c>
      <c r="J591" s="8" t="str">
        <f>IF([1]All!$E592=0,"",[1]All!$E592)</f>
        <v/>
      </c>
      <c r="K591" s="8" t="s">
        <v>445</v>
      </c>
      <c r="L591" s="11" t="str">
        <f>IF([1]All!$L592=0,"",[1]All!$L592)</f>
        <v/>
      </c>
      <c r="M591" s="7" t="str">
        <f>IF([1]All!$AJ592=0,"",[1]All!$AJ592)</f>
        <v/>
      </c>
      <c r="N591" s="7" t="str">
        <f>IF([1]All!$R592=0,"",[1]All!$R592)</f>
        <v/>
      </c>
      <c r="O591" s="7" t="str">
        <f>IF([1]All!$S592=0,"",[1]All!$S592)</f>
        <v/>
      </c>
      <c r="P591" s="7" t="str">
        <f>IF([1]All!$V592=0,"",[1]All!$V592)</f>
        <v/>
      </c>
      <c r="Q591" s="3" t="e">
        <f t="shared" si="59"/>
        <v>#VALUE!</v>
      </c>
      <c r="R591" s="8" t="str">
        <f>IF([1]All!$F592=0,"",[1]All!$F592)</f>
        <v/>
      </c>
    </row>
    <row r="592" spans="1:18">
      <c r="A592" s="7"/>
      <c r="B592" s="3" t="str">
        <f t="shared" si="55"/>
        <v/>
      </c>
      <c r="C592" s="3" t="str">
        <f t="shared" si="56"/>
        <v/>
      </c>
      <c r="D592" s="9" t="str">
        <f t="shared" si="57"/>
        <v/>
      </c>
      <c r="E592" s="3" t="str">
        <f t="shared" si="58"/>
        <v xml:space="preserve"> </v>
      </c>
      <c r="F592" s="10" t="e">
        <f t="shared" si="60"/>
        <v>#VALUE!</v>
      </c>
      <c r="G592" s="8" t="str">
        <f>IF([1]All!$B593="","",[1]All!$B593)</f>
        <v/>
      </c>
      <c r="H592" s="7"/>
      <c r="I592" s="8" t="str">
        <f>IF([1]All!$D593=0,"",[1]All!$D593)</f>
        <v/>
      </c>
      <c r="J592" s="8" t="str">
        <f>IF([1]All!$E593=0,"",[1]All!$E593)</f>
        <v/>
      </c>
      <c r="K592" s="8" t="s">
        <v>445</v>
      </c>
      <c r="L592" s="11" t="str">
        <f>IF([1]All!$L593=0,"",[1]All!$L593)</f>
        <v/>
      </c>
      <c r="M592" s="7" t="str">
        <f>IF([1]All!$AJ593=0,"",[1]All!$AJ593)</f>
        <v/>
      </c>
      <c r="N592" s="7" t="str">
        <f>IF([1]All!$R593=0,"",[1]All!$R593)</f>
        <v/>
      </c>
      <c r="O592" s="7" t="str">
        <f>IF([1]All!$S593=0,"",[1]All!$S593)</f>
        <v/>
      </c>
      <c r="P592" s="7" t="str">
        <f>IF([1]All!$V593=0,"",[1]All!$V593)</f>
        <v/>
      </c>
      <c r="Q592" s="3" t="e">
        <f t="shared" si="59"/>
        <v>#VALUE!</v>
      </c>
      <c r="R592" s="8" t="str">
        <f>IF([1]All!$F593=0,"",[1]All!$F593)</f>
        <v/>
      </c>
    </row>
    <row r="593" spans="1:18">
      <c r="A593" s="7"/>
      <c r="B593" s="3" t="str">
        <f t="shared" si="55"/>
        <v/>
      </c>
      <c r="C593" s="3" t="str">
        <f t="shared" si="56"/>
        <v/>
      </c>
      <c r="D593" s="9" t="str">
        <f t="shared" si="57"/>
        <v/>
      </c>
      <c r="E593" s="3" t="str">
        <f t="shared" si="58"/>
        <v xml:space="preserve"> </v>
      </c>
      <c r="F593" s="10" t="e">
        <f t="shared" si="60"/>
        <v>#VALUE!</v>
      </c>
      <c r="G593" s="8" t="str">
        <f>IF([1]All!$B594="","",[1]All!$B594)</f>
        <v/>
      </c>
      <c r="H593" s="7"/>
      <c r="I593" s="8" t="str">
        <f>IF([1]All!$D594=0,"",[1]All!$D594)</f>
        <v/>
      </c>
      <c r="J593" s="8" t="str">
        <f>IF([1]All!$E594=0,"",[1]All!$E594)</f>
        <v/>
      </c>
      <c r="K593" s="8" t="s">
        <v>445</v>
      </c>
      <c r="L593" s="11" t="str">
        <f>IF([1]All!$L594=0,"",[1]All!$L594)</f>
        <v/>
      </c>
      <c r="M593" s="7" t="str">
        <f>IF([1]All!$AJ594=0,"",[1]All!$AJ594)</f>
        <v/>
      </c>
      <c r="N593" s="7" t="str">
        <f>IF([1]All!$R594=0,"",[1]All!$R594)</f>
        <v/>
      </c>
      <c r="O593" s="7" t="str">
        <f>IF([1]All!$S594=0,"",[1]All!$S594)</f>
        <v/>
      </c>
      <c r="P593" s="7" t="str">
        <f>IF([1]All!$V594=0,"",[1]All!$V594)</f>
        <v/>
      </c>
      <c r="Q593" s="3" t="e">
        <f t="shared" si="59"/>
        <v>#VALUE!</v>
      </c>
      <c r="R593" s="8" t="str">
        <f>IF([1]All!$F594=0,"",[1]All!$F594)</f>
        <v/>
      </c>
    </row>
    <row r="594" spans="1:18">
      <c r="A594" s="7"/>
      <c r="B594" s="3" t="str">
        <f t="shared" si="55"/>
        <v/>
      </c>
      <c r="C594" s="3" t="str">
        <f t="shared" si="56"/>
        <v/>
      </c>
      <c r="D594" s="9" t="str">
        <f t="shared" si="57"/>
        <v/>
      </c>
      <c r="E594" s="3" t="str">
        <f t="shared" si="58"/>
        <v xml:space="preserve"> </v>
      </c>
      <c r="F594" s="10" t="e">
        <f t="shared" si="60"/>
        <v>#VALUE!</v>
      </c>
      <c r="G594" s="8" t="str">
        <f>IF([1]All!$B595="","",[1]All!$B595)</f>
        <v/>
      </c>
      <c r="H594" s="7"/>
      <c r="I594" s="8" t="str">
        <f>IF([1]All!$D595=0,"",[1]All!$D595)</f>
        <v/>
      </c>
      <c r="J594" s="8" t="str">
        <f>IF([1]All!$E595=0,"",[1]All!$E595)</f>
        <v/>
      </c>
      <c r="K594" s="8" t="s">
        <v>445</v>
      </c>
      <c r="L594" s="11" t="str">
        <f>IF([1]All!$L595=0,"",[1]All!$L595)</f>
        <v/>
      </c>
      <c r="M594" s="7" t="str">
        <f>IF([1]All!$AJ595=0,"",[1]All!$AJ595)</f>
        <v/>
      </c>
      <c r="N594" s="7" t="str">
        <f>IF([1]All!$R595=0,"",[1]All!$R595)</f>
        <v/>
      </c>
      <c r="O594" s="7" t="str">
        <f>IF([1]All!$S595=0,"",[1]All!$S595)</f>
        <v/>
      </c>
      <c r="P594" s="7" t="str">
        <f>IF([1]All!$V595=0,"",[1]All!$V595)</f>
        <v/>
      </c>
      <c r="Q594" s="3" t="e">
        <f t="shared" si="59"/>
        <v>#VALUE!</v>
      </c>
      <c r="R594" s="8" t="str">
        <f>IF([1]All!$F595=0,"",[1]All!$F595)</f>
        <v/>
      </c>
    </row>
    <row r="595" spans="1:18">
      <c r="A595" s="7"/>
      <c r="B595" s="3" t="str">
        <f t="shared" si="55"/>
        <v/>
      </c>
      <c r="C595" s="3" t="str">
        <f t="shared" si="56"/>
        <v/>
      </c>
      <c r="D595" s="9" t="str">
        <f t="shared" si="57"/>
        <v/>
      </c>
      <c r="E595" s="3" t="str">
        <f t="shared" si="58"/>
        <v xml:space="preserve"> </v>
      </c>
      <c r="F595" s="10" t="e">
        <f t="shared" si="60"/>
        <v>#VALUE!</v>
      </c>
      <c r="G595" s="8" t="str">
        <f>IF([1]All!$B596="","",[1]All!$B596)</f>
        <v/>
      </c>
      <c r="H595" s="7"/>
      <c r="I595" s="8" t="str">
        <f>IF([1]All!$D596=0,"",[1]All!$D596)</f>
        <v/>
      </c>
      <c r="J595" s="8" t="str">
        <f>IF([1]All!$E596=0,"",[1]All!$E596)</f>
        <v/>
      </c>
      <c r="K595" s="8" t="s">
        <v>445</v>
      </c>
      <c r="L595" s="11" t="str">
        <f>IF([1]All!$L596=0,"",[1]All!$L596)</f>
        <v/>
      </c>
      <c r="M595" s="7" t="str">
        <f>IF([1]All!$AJ596=0,"",[1]All!$AJ596)</f>
        <v/>
      </c>
      <c r="N595" s="7" t="str">
        <f>IF([1]All!$R596=0,"",[1]All!$R596)</f>
        <v/>
      </c>
      <c r="O595" s="7" t="str">
        <f>IF([1]All!$S596=0,"",[1]All!$S596)</f>
        <v/>
      </c>
      <c r="P595" s="7" t="str">
        <f>IF([1]All!$V596=0,"",[1]All!$V596)</f>
        <v/>
      </c>
      <c r="Q595" s="3" t="e">
        <f t="shared" si="59"/>
        <v>#VALUE!</v>
      </c>
      <c r="R595" s="8" t="str">
        <f>IF([1]All!$F596=0,"",[1]All!$F596)</f>
        <v/>
      </c>
    </row>
    <row r="596" spans="1:18">
      <c r="A596" s="7"/>
      <c r="B596" s="3" t="str">
        <f t="shared" si="55"/>
        <v/>
      </c>
      <c r="C596" s="3" t="str">
        <f t="shared" si="56"/>
        <v/>
      </c>
      <c r="D596" s="9" t="str">
        <f t="shared" si="57"/>
        <v/>
      </c>
      <c r="E596" s="3" t="str">
        <f t="shared" si="58"/>
        <v xml:space="preserve"> </v>
      </c>
      <c r="F596" s="10" t="e">
        <f t="shared" si="60"/>
        <v>#VALUE!</v>
      </c>
      <c r="G596" s="8" t="str">
        <f>IF([1]All!$B597="","",[1]All!$B597)</f>
        <v/>
      </c>
      <c r="H596" s="7"/>
      <c r="I596" s="8" t="str">
        <f>IF([1]All!$D597=0,"",[1]All!$D597)</f>
        <v/>
      </c>
      <c r="J596" s="8" t="str">
        <f>IF([1]All!$E597=0,"",[1]All!$E597)</f>
        <v/>
      </c>
      <c r="K596" s="8" t="s">
        <v>445</v>
      </c>
      <c r="L596" s="11" t="str">
        <f>IF([1]All!$L597=0,"",[1]All!$L597)</f>
        <v/>
      </c>
      <c r="M596" s="7" t="str">
        <f>IF([1]All!$AJ597=0,"",[1]All!$AJ597)</f>
        <v/>
      </c>
      <c r="N596" s="7" t="str">
        <f>IF([1]All!$R597=0,"",[1]All!$R597)</f>
        <v/>
      </c>
      <c r="O596" s="7" t="str">
        <f>IF([1]All!$S597=0,"",[1]All!$S597)</f>
        <v/>
      </c>
      <c r="P596" s="7" t="str">
        <f>IF([1]All!$V597=0,"",[1]All!$V597)</f>
        <v/>
      </c>
      <c r="Q596" s="3" t="e">
        <f t="shared" si="59"/>
        <v>#VALUE!</v>
      </c>
      <c r="R596" s="8" t="str">
        <f>IF([1]All!$F597=0,"",[1]All!$F597)</f>
        <v/>
      </c>
    </row>
    <row r="597" spans="1:18">
      <c r="A597" s="7"/>
      <c r="B597" s="3" t="str">
        <f t="shared" si="55"/>
        <v/>
      </c>
      <c r="C597" s="3" t="str">
        <f t="shared" si="56"/>
        <v/>
      </c>
      <c r="D597" s="9" t="str">
        <f t="shared" si="57"/>
        <v/>
      </c>
      <c r="E597" s="3" t="str">
        <f t="shared" si="58"/>
        <v xml:space="preserve"> </v>
      </c>
      <c r="F597" s="10" t="e">
        <f t="shared" si="60"/>
        <v>#VALUE!</v>
      </c>
      <c r="G597" s="8" t="str">
        <f>IF([1]All!$B598="","",[1]All!$B598)</f>
        <v/>
      </c>
      <c r="H597" s="7"/>
      <c r="I597" s="8" t="str">
        <f>IF([1]All!$D598=0,"",[1]All!$D598)</f>
        <v/>
      </c>
      <c r="J597" s="8" t="str">
        <f>IF([1]All!$E598=0,"",[1]All!$E598)</f>
        <v/>
      </c>
      <c r="K597" s="8" t="s">
        <v>445</v>
      </c>
      <c r="L597" s="11" t="str">
        <f>IF([1]All!$L598=0,"",[1]All!$L598)</f>
        <v/>
      </c>
      <c r="M597" s="7" t="str">
        <f>IF([1]All!$AJ598=0,"",[1]All!$AJ598)</f>
        <v/>
      </c>
      <c r="N597" s="7" t="str">
        <f>IF([1]All!$R598=0,"",[1]All!$R598)</f>
        <v/>
      </c>
      <c r="O597" s="7" t="str">
        <f>IF([1]All!$S598=0,"",[1]All!$S598)</f>
        <v/>
      </c>
      <c r="P597" s="7" t="str">
        <f>IF([1]All!$V598=0,"",[1]All!$V598)</f>
        <v/>
      </c>
      <c r="Q597" s="3" t="e">
        <f t="shared" si="59"/>
        <v>#VALUE!</v>
      </c>
      <c r="R597" s="8" t="str">
        <f>IF([1]All!$F598=0,"",[1]All!$F598)</f>
        <v/>
      </c>
    </row>
    <row r="598" spans="1:18">
      <c r="A598" s="7"/>
      <c r="B598" s="3" t="str">
        <f t="shared" si="55"/>
        <v/>
      </c>
      <c r="C598" s="3" t="str">
        <f t="shared" si="56"/>
        <v/>
      </c>
      <c r="D598" s="9" t="str">
        <f t="shared" si="57"/>
        <v/>
      </c>
      <c r="E598" s="3" t="str">
        <f t="shared" si="58"/>
        <v xml:space="preserve"> </v>
      </c>
      <c r="F598" s="10" t="e">
        <f t="shared" si="60"/>
        <v>#VALUE!</v>
      </c>
      <c r="G598" s="8" t="str">
        <f>IF([1]All!$B599="","",[1]All!$B599)</f>
        <v/>
      </c>
      <c r="H598" s="7"/>
      <c r="I598" s="8" t="str">
        <f>IF([1]All!$D599=0,"",[1]All!$D599)</f>
        <v/>
      </c>
      <c r="J598" s="8" t="str">
        <f>IF([1]All!$E599=0,"",[1]All!$E599)</f>
        <v/>
      </c>
      <c r="K598" s="8" t="s">
        <v>445</v>
      </c>
      <c r="L598" s="11" t="str">
        <f>IF([1]All!$L599=0,"",[1]All!$L599)</f>
        <v/>
      </c>
      <c r="M598" s="7" t="str">
        <f>IF([1]All!$AJ599=0,"",[1]All!$AJ599)</f>
        <v/>
      </c>
      <c r="N598" s="7" t="str">
        <f>IF([1]All!$R599=0,"",[1]All!$R599)</f>
        <v/>
      </c>
      <c r="O598" s="7" t="str">
        <f>IF([1]All!$S599=0,"",[1]All!$S599)</f>
        <v/>
      </c>
      <c r="P598" s="7" t="str">
        <f>IF([1]All!$V599=0,"",[1]All!$V599)</f>
        <v/>
      </c>
      <c r="Q598" s="3" t="e">
        <f t="shared" si="59"/>
        <v>#VALUE!</v>
      </c>
      <c r="R598" s="8" t="str">
        <f>IF([1]All!$F599=0,"",[1]All!$F599)</f>
        <v/>
      </c>
    </row>
    <row r="599" spans="1:18">
      <c r="A599" s="7"/>
      <c r="B599" s="3" t="str">
        <f t="shared" si="55"/>
        <v/>
      </c>
      <c r="C599" s="3" t="str">
        <f t="shared" si="56"/>
        <v/>
      </c>
      <c r="D599" s="9" t="str">
        <f t="shared" si="57"/>
        <v/>
      </c>
      <c r="E599" s="3" t="str">
        <f t="shared" si="58"/>
        <v xml:space="preserve"> </v>
      </c>
      <c r="F599" s="10" t="e">
        <f t="shared" si="60"/>
        <v>#VALUE!</v>
      </c>
      <c r="G599" s="8" t="str">
        <f>IF([1]All!$B600="","",[1]All!$B600)</f>
        <v/>
      </c>
      <c r="H599" s="7"/>
      <c r="I599" s="8" t="str">
        <f>IF([1]All!$D600=0,"",[1]All!$D600)</f>
        <v/>
      </c>
      <c r="J599" s="8" t="str">
        <f>IF([1]All!$E600=0,"",[1]All!$E600)</f>
        <v/>
      </c>
      <c r="K599" s="8" t="s">
        <v>445</v>
      </c>
      <c r="L599" s="11" t="str">
        <f>IF([1]All!$L600=0,"",[1]All!$L600)</f>
        <v/>
      </c>
      <c r="M599" s="7" t="str">
        <f>IF([1]All!$AJ600=0,"",[1]All!$AJ600)</f>
        <v/>
      </c>
      <c r="N599" s="7" t="str">
        <f>IF([1]All!$R600=0,"",[1]All!$R600)</f>
        <v/>
      </c>
      <c r="O599" s="7" t="str">
        <f>IF([1]All!$S600=0,"",[1]All!$S600)</f>
        <v/>
      </c>
      <c r="P599" s="7" t="str">
        <f>IF([1]All!$V600=0,"",[1]All!$V600)</f>
        <v/>
      </c>
      <c r="Q599" s="3" t="e">
        <f t="shared" si="59"/>
        <v>#VALUE!</v>
      </c>
      <c r="R599" s="8" t="str">
        <f>IF([1]All!$F600=0,"",[1]All!$F600)</f>
        <v/>
      </c>
    </row>
    <row r="600" spans="1:18">
      <c r="A600" s="7"/>
      <c r="B600" s="3" t="str">
        <f t="shared" si="55"/>
        <v/>
      </c>
      <c r="C600" s="3" t="str">
        <f t="shared" si="56"/>
        <v/>
      </c>
      <c r="D600" s="9" t="str">
        <f t="shared" si="57"/>
        <v/>
      </c>
      <c r="E600" s="3" t="str">
        <f t="shared" si="58"/>
        <v xml:space="preserve"> </v>
      </c>
      <c r="F600" s="10" t="e">
        <f t="shared" si="60"/>
        <v>#VALUE!</v>
      </c>
      <c r="G600" s="8" t="str">
        <f>IF([1]All!$B601="","",[1]All!$B601)</f>
        <v/>
      </c>
      <c r="H600" s="7"/>
      <c r="I600" s="8" t="str">
        <f>IF([1]All!$D601=0,"",[1]All!$D601)</f>
        <v/>
      </c>
      <c r="J600" s="8" t="str">
        <f>IF([1]All!$E601=0,"",[1]All!$E601)</f>
        <v/>
      </c>
      <c r="K600" s="8" t="s">
        <v>445</v>
      </c>
      <c r="L600" s="11" t="str">
        <f>IF([1]All!$L601=0,"",[1]All!$L601)</f>
        <v/>
      </c>
      <c r="M600" s="7" t="str">
        <f>IF([1]All!$AJ601=0,"",[1]All!$AJ601)</f>
        <v/>
      </c>
      <c r="N600" s="7" t="str">
        <f>IF([1]All!$R601=0,"",[1]All!$R601)</f>
        <v/>
      </c>
      <c r="O600" s="7" t="str">
        <f>IF([1]All!$S601=0,"",[1]All!$S601)</f>
        <v/>
      </c>
      <c r="P600" s="7" t="str">
        <f>IF([1]All!$V601=0,"",[1]All!$V601)</f>
        <v/>
      </c>
      <c r="Q600" s="3" t="e">
        <f t="shared" si="59"/>
        <v>#VALUE!</v>
      </c>
      <c r="R600" s="8" t="str">
        <f>IF([1]All!$F601=0,"",[1]All!$F601)</f>
        <v/>
      </c>
    </row>
    <row r="601" spans="1:18">
      <c r="A601" s="7"/>
      <c r="B601" s="3" t="str">
        <f t="shared" si="55"/>
        <v/>
      </c>
      <c r="C601" s="3" t="str">
        <f t="shared" si="56"/>
        <v/>
      </c>
      <c r="D601" s="9" t="str">
        <f t="shared" si="57"/>
        <v/>
      </c>
      <c r="E601" s="3" t="str">
        <f t="shared" si="58"/>
        <v xml:space="preserve"> </v>
      </c>
      <c r="F601" s="10" t="e">
        <f t="shared" si="60"/>
        <v>#VALUE!</v>
      </c>
      <c r="G601" s="8" t="str">
        <f>IF([1]All!$B602="","",[1]All!$B602)</f>
        <v/>
      </c>
      <c r="H601" s="7"/>
      <c r="I601" s="8" t="str">
        <f>IF([1]All!$D602=0,"",[1]All!$D602)</f>
        <v/>
      </c>
      <c r="J601" s="8" t="str">
        <f>IF([1]All!$E602=0,"",[1]All!$E602)</f>
        <v/>
      </c>
      <c r="K601" s="8" t="s">
        <v>445</v>
      </c>
      <c r="L601" s="11" t="str">
        <f>IF([1]All!$L602=0,"",[1]All!$L602)</f>
        <v/>
      </c>
      <c r="M601" s="7" t="str">
        <f>IF([1]All!$AJ602=0,"",[1]All!$AJ602)</f>
        <v/>
      </c>
      <c r="N601" s="7" t="str">
        <f>IF([1]All!$R602=0,"",[1]All!$R602)</f>
        <v/>
      </c>
      <c r="O601" s="7" t="str">
        <f>IF([1]All!$S602=0,"",[1]All!$S602)</f>
        <v/>
      </c>
      <c r="P601" s="7" t="str">
        <f>IF([1]All!$V602=0,"",[1]All!$V602)</f>
        <v/>
      </c>
      <c r="Q601" s="3" t="e">
        <f t="shared" si="59"/>
        <v>#VALUE!</v>
      </c>
      <c r="R601" s="8" t="str">
        <f>IF([1]All!$F602=0,"",[1]All!$F602)</f>
        <v/>
      </c>
    </row>
    <row r="602" spans="1:18">
      <c r="A602" s="7"/>
      <c r="B602" s="3" t="str">
        <f t="shared" si="55"/>
        <v/>
      </c>
      <c r="C602" s="3" t="str">
        <f t="shared" si="56"/>
        <v/>
      </c>
      <c r="D602" s="9" t="str">
        <f t="shared" si="57"/>
        <v/>
      </c>
      <c r="E602" s="3" t="str">
        <f t="shared" si="58"/>
        <v xml:space="preserve"> </v>
      </c>
      <c r="F602" s="10" t="e">
        <f t="shared" si="60"/>
        <v>#VALUE!</v>
      </c>
      <c r="G602" s="8" t="str">
        <f>IF([1]All!$B603="","",[1]All!$B603)</f>
        <v/>
      </c>
      <c r="H602" s="7"/>
      <c r="I602" s="8" t="str">
        <f>IF([1]All!$D603=0,"",[1]All!$D603)</f>
        <v/>
      </c>
      <c r="J602" s="8" t="str">
        <f>IF([1]All!$E603=0,"",[1]All!$E603)</f>
        <v/>
      </c>
      <c r="K602" s="8" t="s">
        <v>445</v>
      </c>
      <c r="L602" s="11" t="str">
        <f>IF([1]All!$L603=0,"",[1]All!$L603)</f>
        <v/>
      </c>
      <c r="M602" s="7" t="str">
        <f>IF([1]All!$AJ603=0,"",[1]All!$AJ603)</f>
        <v/>
      </c>
      <c r="N602" s="7" t="str">
        <f>IF([1]All!$R603=0,"",[1]All!$R603)</f>
        <v/>
      </c>
      <c r="O602" s="7" t="str">
        <f>IF([1]All!$S603=0,"",[1]All!$S603)</f>
        <v/>
      </c>
      <c r="P602" s="7" t="str">
        <f>IF([1]All!$V603=0,"",[1]All!$V603)</f>
        <v/>
      </c>
      <c r="Q602" s="3" t="e">
        <f t="shared" si="59"/>
        <v>#VALUE!</v>
      </c>
      <c r="R602" s="8" t="str">
        <f>IF([1]All!$F603=0,"",[1]All!$F603)</f>
        <v/>
      </c>
    </row>
    <row r="603" spans="1:18">
      <c r="A603" s="7"/>
      <c r="B603" s="3" t="str">
        <f t="shared" si="55"/>
        <v/>
      </c>
      <c r="C603" s="3" t="str">
        <f t="shared" si="56"/>
        <v/>
      </c>
      <c r="D603" s="9" t="str">
        <f t="shared" si="57"/>
        <v/>
      </c>
      <c r="E603" s="3" t="str">
        <f t="shared" si="58"/>
        <v xml:space="preserve"> </v>
      </c>
      <c r="F603" s="10" t="e">
        <f t="shared" si="60"/>
        <v>#VALUE!</v>
      </c>
      <c r="G603" s="8" t="str">
        <f>IF([1]All!$B604="","",[1]All!$B604)</f>
        <v/>
      </c>
      <c r="H603" s="7"/>
      <c r="I603" s="8" t="str">
        <f>IF([1]All!$D604=0,"",[1]All!$D604)</f>
        <v/>
      </c>
      <c r="J603" s="8" t="str">
        <f>IF([1]All!$E604=0,"",[1]All!$E604)</f>
        <v/>
      </c>
      <c r="K603" s="8" t="s">
        <v>445</v>
      </c>
      <c r="L603" s="11" t="str">
        <f>IF([1]All!$L604=0,"",[1]All!$L604)</f>
        <v/>
      </c>
      <c r="M603" s="7" t="str">
        <f>IF([1]All!$AJ604=0,"",[1]All!$AJ604)</f>
        <v/>
      </c>
      <c r="N603" s="7" t="str">
        <f>IF([1]All!$R604=0,"",[1]All!$R604)</f>
        <v/>
      </c>
      <c r="O603" s="7" t="str">
        <f>IF([1]All!$S604=0,"",[1]All!$S604)</f>
        <v/>
      </c>
      <c r="P603" s="7" t="str">
        <f>IF([1]All!$V604=0,"",[1]All!$V604)</f>
        <v/>
      </c>
      <c r="Q603" s="3" t="e">
        <f t="shared" si="59"/>
        <v>#VALUE!</v>
      </c>
      <c r="R603" s="8" t="str">
        <f>IF([1]All!$F604=0,"",[1]All!$F604)</f>
        <v/>
      </c>
    </row>
    <row r="604" spans="1:18">
      <c r="A604" s="7"/>
      <c r="B604" s="3" t="str">
        <f t="shared" si="55"/>
        <v/>
      </c>
      <c r="C604" s="3" t="str">
        <f t="shared" si="56"/>
        <v/>
      </c>
      <c r="D604" s="9" t="str">
        <f t="shared" si="57"/>
        <v/>
      </c>
      <c r="E604" s="3" t="str">
        <f t="shared" si="58"/>
        <v xml:space="preserve"> </v>
      </c>
      <c r="F604" s="10" t="e">
        <f t="shared" si="60"/>
        <v>#VALUE!</v>
      </c>
      <c r="G604" s="8" t="str">
        <f>IF([1]All!$B605="","",[1]All!$B605)</f>
        <v/>
      </c>
      <c r="H604" s="7"/>
      <c r="I604" s="8" t="str">
        <f>IF([1]All!$D605=0,"",[1]All!$D605)</f>
        <v/>
      </c>
      <c r="J604" s="8" t="str">
        <f>IF([1]All!$E605=0,"",[1]All!$E605)</f>
        <v/>
      </c>
      <c r="K604" s="8" t="s">
        <v>445</v>
      </c>
      <c r="L604" s="11" t="str">
        <f>IF([1]All!$L605=0,"",[1]All!$L605)</f>
        <v/>
      </c>
      <c r="M604" s="7" t="str">
        <f>IF([1]All!$AJ605=0,"",[1]All!$AJ605)</f>
        <v/>
      </c>
      <c r="N604" s="7" t="str">
        <f>IF([1]All!$R605=0,"",[1]All!$R605)</f>
        <v/>
      </c>
      <c r="O604" s="7" t="str">
        <f>IF([1]All!$S605=0,"",[1]All!$S605)</f>
        <v/>
      </c>
      <c r="P604" s="7" t="str">
        <f>IF([1]All!$V605=0,"",[1]All!$V605)</f>
        <v/>
      </c>
      <c r="Q604" s="3" t="e">
        <f t="shared" si="59"/>
        <v>#VALUE!</v>
      </c>
      <c r="R604" s="8" t="str">
        <f>IF([1]All!$F605=0,"",[1]All!$F605)</f>
        <v/>
      </c>
    </row>
    <row r="605" spans="1:18">
      <c r="A605" s="7"/>
      <c r="B605" s="3" t="str">
        <f t="shared" si="55"/>
        <v/>
      </c>
      <c r="C605" s="3" t="str">
        <f t="shared" si="56"/>
        <v/>
      </c>
      <c r="D605" s="9" t="str">
        <f t="shared" si="57"/>
        <v/>
      </c>
      <c r="E605" s="3" t="str">
        <f t="shared" si="58"/>
        <v xml:space="preserve"> </v>
      </c>
      <c r="F605" s="10" t="e">
        <f t="shared" si="60"/>
        <v>#VALUE!</v>
      </c>
      <c r="G605" s="8" t="str">
        <f>IF([1]All!$B606="","",[1]All!$B606)</f>
        <v/>
      </c>
      <c r="H605" s="7"/>
      <c r="I605" s="8" t="str">
        <f>IF([1]All!$D606=0,"",[1]All!$D606)</f>
        <v/>
      </c>
      <c r="J605" s="8" t="str">
        <f>IF([1]All!$E606=0,"",[1]All!$E606)</f>
        <v/>
      </c>
      <c r="K605" s="8" t="s">
        <v>445</v>
      </c>
      <c r="L605" s="11" t="str">
        <f>IF([1]All!$L606=0,"",[1]All!$L606)</f>
        <v/>
      </c>
      <c r="M605" s="7" t="str">
        <f>IF([1]All!$AJ606=0,"",[1]All!$AJ606)</f>
        <v/>
      </c>
      <c r="N605" s="7" t="str">
        <f>IF([1]All!$R606=0,"",[1]All!$R606)</f>
        <v/>
      </c>
      <c r="O605" s="7" t="str">
        <f>IF([1]All!$S606=0,"",[1]All!$S606)</f>
        <v/>
      </c>
      <c r="P605" s="7" t="str">
        <f>IF([1]All!$V606=0,"",[1]All!$V606)</f>
        <v/>
      </c>
      <c r="Q605" s="3" t="e">
        <f t="shared" si="59"/>
        <v>#VALUE!</v>
      </c>
      <c r="R605" s="8" t="str">
        <f>IF([1]All!$F606=0,"",[1]All!$F606)</f>
        <v/>
      </c>
    </row>
    <row r="606" spans="1:18">
      <c r="A606" s="7"/>
      <c r="B606" s="3" t="str">
        <f t="shared" si="55"/>
        <v/>
      </c>
      <c r="C606" s="3" t="str">
        <f t="shared" si="56"/>
        <v/>
      </c>
      <c r="D606" s="9" t="str">
        <f t="shared" si="57"/>
        <v/>
      </c>
      <c r="E606" s="3" t="str">
        <f t="shared" si="58"/>
        <v xml:space="preserve"> </v>
      </c>
      <c r="F606" s="10" t="e">
        <f t="shared" si="60"/>
        <v>#VALUE!</v>
      </c>
      <c r="G606" s="8" t="str">
        <f>IF([1]All!$B607="","",[1]All!$B607)</f>
        <v/>
      </c>
      <c r="H606" s="7"/>
      <c r="I606" s="8" t="str">
        <f>IF([1]All!$D607=0,"",[1]All!$D607)</f>
        <v/>
      </c>
      <c r="J606" s="8" t="str">
        <f>IF([1]All!$E607=0,"",[1]All!$E607)</f>
        <v/>
      </c>
      <c r="K606" s="8" t="s">
        <v>445</v>
      </c>
      <c r="L606" s="11" t="str">
        <f>IF([1]All!$L607=0,"",[1]All!$L607)</f>
        <v/>
      </c>
      <c r="M606" s="7" t="str">
        <f>IF([1]All!$AJ607=0,"",[1]All!$AJ607)</f>
        <v/>
      </c>
      <c r="N606" s="7" t="str">
        <f>IF([1]All!$R607=0,"",[1]All!$R607)</f>
        <v/>
      </c>
      <c r="O606" s="7" t="str">
        <f>IF([1]All!$S607=0,"",[1]All!$S607)</f>
        <v/>
      </c>
      <c r="P606" s="7" t="str">
        <f>IF([1]All!$V607=0,"",[1]All!$V607)</f>
        <v/>
      </c>
      <c r="Q606" s="3" t="e">
        <f t="shared" si="59"/>
        <v>#VALUE!</v>
      </c>
      <c r="R606" s="8" t="str">
        <f>IF([1]All!$F607=0,"",[1]All!$F607)</f>
        <v/>
      </c>
    </row>
    <row r="607" spans="1:18">
      <c r="A607" s="7"/>
      <c r="B607" s="3" t="str">
        <f t="shared" si="55"/>
        <v/>
      </c>
      <c r="C607" s="3" t="str">
        <f t="shared" si="56"/>
        <v/>
      </c>
      <c r="D607" s="9" t="str">
        <f t="shared" si="57"/>
        <v/>
      </c>
      <c r="E607" s="3" t="str">
        <f t="shared" si="58"/>
        <v xml:space="preserve"> </v>
      </c>
      <c r="F607" s="10" t="e">
        <f t="shared" si="60"/>
        <v>#VALUE!</v>
      </c>
      <c r="G607" s="8" t="str">
        <f>IF([1]All!$B608="","",[1]All!$B608)</f>
        <v/>
      </c>
      <c r="H607" s="7"/>
      <c r="I607" s="8" t="str">
        <f>IF([1]All!$D608=0,"",[1]All!$D608)</f>
        <v/>
      </c>
      <c r="J607" s="8" t="str">
        <f>IF([1]All!$E608=0,"",[1]All!$E608)</f>
        <v/>
      </c>
      <c r="K607" s="8" t="s">
        <v>445</v>
      </c>
      <c r="L607" s="11" t="str">
        <f>IF([1]All!$L608=0,"",[1]All!$L608)</f>
        <v/>
      </c>
      <c r="M607" s="7" t="str">
        <f>IF([1]All!$AJ608=0,"",[1]All!$AJ608)</f>
        <v/>
      </c>
      <c r="N607" s="7" t="str">
        <f>IF([1]All!$R608=0,"",[1]All!$R608)</f>
        <v/>
      </c>
      <c r="O607" s="7" t="str">
        <f>IF([1]All!$S608=0,"",[1]All!$S608)</f>
        <v/>
      </c>
      <c r="P607" s="7" t="str">
        <f>IF([1]All!$V608=0,"",[1]All!$V608)</f>
        <v/>
      </c>
      <c r="Q607" s="3" t="e">
        <f t="shared" si="59"/>
        <v>#VALUE!</v>
      </c>
      <c r="R607" s="8" t="str">
        <f>IF([1]All!$F608=0,"",[1]All!$F608)</f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9"/>
  <sheetViews>
    <sheetView workbookViewId="0">
      <selection sqref="A1:A9"/>
    </sheetView>
  </sheetViews>
  <sheetFormatPr defaultRowHeight="15"/>
  <cols>
    <col min="1" max="1" width="32" bestFit="1" customWidth="1"/>
  </cols>
  <sheetData>
    <row r="1" spans="1:1">
      <c r="A1" t="s">
        <v>410</v>
      </c>
    </row>
    <row r="2" spans="1:1">
      <c r="A2" t="s">
        <v>411</v>
      </c>
    </row>
    <row r="3" spans="1:1">
      <c r="A3" t="s">
        <v>412</v>
      </c>
    </row>
    <row r="4" spans="1:1">
      <c r="A4" t="s">
        <v>413</v>
      </c>
    </row>
    <row r="5" spans="1:1">
      <c r="A5" t="s">
        <v>414</v>
      </c>
    </row>
    <row r="6" spans="1:1">
      <c r="A6" t="s">
        <v>415</v>
      </c>
    </row>
    <row r="7" spans="1:1">
      <c r="A7" t="s">
        <v>416</v>
      </c>
    </row>
    <row r="8" spans="1:1">
      <c r="A8" t="s">
        <v>417</v>
      </c>
    </row>
    <row r="9" spans="1:1">
      <c r="A9" t="s">
        <v>418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G2" sqref="G2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International Logistics Systems,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dgillespie</dc:creator>
  <cp:lastModifiedBy>dgillespie</cp:lastModifiedBy>
  <dcterms:created xsi:type="dcterms:W3CDTF">2014-08-05T13:47:27Z</dcterms:created>
  <dcterms:modified xsi:type="dcterms:W3CDTF">2014-11-17T19:07:39Z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Make_Indenture_Folders_1" visible="true" label="Make_Indenture_Folders" onAction="Make_Indenture_Folders" imageMso="CreateMailRule"/>
        <mso:button idQ="doc:RunAll_1" visible="true" label="RunAll" onAction="RunAll" imageMso="CopyFolder"/>
        <mso:button idQ="doc:NSNs_1" visible="true" label="NSNs" onAction="NSNs" imageMso="SmartArtLayoutGallery"/>
        <mso:button idQ="doc:NONSNs_1" visible="true" label="NONSNs" onAction="NONSNs" imageMso="AutoFormat"/>
      </mso:documentControls>
    </mso:qat>
  </mso:ribbon>
</mso:customUI>
</file>