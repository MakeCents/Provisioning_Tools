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84" yWindow="120" windowWidth="29700" windowHeight="7680"/>
  </bookViews>
  <sheets>
    <sheet name="SMR Calculator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K4" i="1"/>
  <c r="C3"/>
  <c r="D3"/>
  <c r="E3"/>
  <c r="A3"/>
  <c r="AJ10" s="1"/>
  <c r="AK10" s="1"/>
  <c r="AJ5" l="1"/>
  <c r="AK5" s="1"/>
  <c r="AJ11"/>
  <c r="AK11" s="1"/>
  <c r="AJ12"/>
  <c r="AK12" s="1"/>
  <c r="AJ3"/>
  <c r="AJ6"/>
  <c r="AK6" s="1"/>
  <c r="AJ7"/>
  <c r="AK7" s="1"/>
  <c r="AJ8"/>
  <c r="AK8" s="1"/>
  <c r="AJ9"/>
  <c r="AK9" s="1"/>
  <c r="B3" l="1"/>
  <c r="A4" s="1"/>
  <c r="AK3"/>
</calcChain>
</file>

<file path=xl/sharedStrings.xml><?xml version="1.0" encoding="utf-8"?>
<sst xmlns="http://schemas.openxmlformats.org/spreadsheetml/2006/main" count="265" uniqueCount="75">
  <si>
    <t>DISPOSITION:</t>
  </si>
  <si>
    <t>ITEM: Stocked</t>
  </si>
  <si>
    <t>ITEM: Stocked, Insurance</t>
  </si>
  <si>
    <t>ITEM: Stocked, Deteriorative</t>
  </si>
  <si>
    <t>Terminal or Obsolete, Replaced</t>
  </si>
  <si>
    <t>Terminal or Obsolete, Not Replaced</t>
  </si>
  <si>
    <t/>
  </si>
  <si>
    <t>ITEM: Deport O/H &amp; Maintenance Kits</t>
  </si>
  <si>
    <t>ITEM: Maintenance Kit, Place at O,F,H,L</t>
  </si>
  <si>
    <t>ITEM: in both Depot Repair &amp; Maint Kits</t>
  </si>
  <si>
    <t>MFG OR FAB at Unit Level</t>
  </si>
  <si>
    <t>MFG OR FAB at DS Level</t>
  </si>
  <si>
    <t>MFG OR FAB at GS Level</t>
  </si>
  <si>
    <t>MFG OR FAB at Special Repair Activity (SRA)</t>
  </si>
  <si>
    <t>MFG OR FAB at Both Afloat and Ashore (Navy Only)</t>
  </si>
  <si>
    <t>MFG OR FAB at Depot Maintenance Level</t>
  </si>
  <si>
    <t>ITEM: Assembled at Unit</t>
  </si>
  <si>
    <t>ITEM: Assembled at DS Level</t>
  </si>
  <si>
    <t>ITEM: Assembled at GS Level</t>
  </si>
  <si>
    <t>ITEM: Assembled at SRA</t>
  </si>
  <si>
    <t>ITEM: Assembled at Afloat and Ashore (Navy Only)</t>
  </si>
  <si>
    <t>ITEM: Assembled at Depot Maintenance Level</t>
  </si>
  <si>
    <t>ITEM: Requisition Next Higher Assembly</t>
  </si>
  <si>
    <t>Not Stocked. Obtain via Local Purchase+C17</t>
  </si>
  <si>
    <t>A</t>
  </si>
  <si>
    <t>B</t>
  </si>
  <si>
    <t>C</t>
  </si>
  <si>
    <t>D</t>
  </si>
  <si>
    <t>E</t>
  </si>
  <si>
    <t>F</t>
  </si>
  <si>
    <t>G</t>
  </si>
  <si>
    <t>H</t>
  </si>
  <si>
    <t>R</t>
  </si>
  <si>
    <t>Z</t>
  </si>
  <si>
    <t>O</t>
  </si>
  <si>
    <t>L</t>
  </si>
  <si>
    <t>Order using Installation Drawing, Diagram, Instruction Sheet. Identify by Cage/Part Number</t>
  </si>
  <si>
    <t>ITEM: Not Procured or Stocked. If not available thru salvage, order using CAGE/Part Number</t>
  </si>
  <si>
    <t>P</t>
  </si>
  <si>
    <t>K</t>
  </si>
  <si>
    <t>M</t>
  </si>
  <si>
    <t>X</t>
  </si>
  <si>
    <t>Procedure</t>
  </si>
  <si>
    <t>Kit</t>
  </si>
  <si>
    <t>Manufacture</t>
  </si>
  <si>
    <t>Assembled</t>
  </si>
  <si>
    <t>Not Stocked</t>
  </si>
  <si>
    <t>ITEM: Support, Initial Issue or Outfitting and Stocked only for additional Initial Issue</t>
  </si>
  <si>
    <t>EQUIP: Support, Stocked, Initial Issue or Outfitting of Specified maint Activities</t>
  </si>
  <si>
    <t>EQUIP: Support, Non-Stocked, Centrally Procured on demand</t>
  </si>
  <si>
    <t>ITEM: Stocked, for Sustained Support, Uneconomical to Produce at Later Time</t>
  </si>
  <si>
    <t>ITEM: Stocked, Contains HAZMAT. HMIS/MSDS Reporting Required</t>
  </si>
  <si>
    <t>SUSTAINMENT Recondition</t>
  </si>
  <si>
    <t xml:space="preserve">FIELD Organization/Unit </t>
  </si>
  <si>
    <t xml:space="preserve">FIELD Direct Support </t>
  </si>
  <si>
    <t xml:space="preserve">FIELD Navy Use Only </t>
  </si>
  <si>
    <t xml:space="preserve">SUSTAINMENT General Support </t>
  </si>
  <si>
    <t xml:space="preserve">SUSTAINMENT Contractor Facility </t>
  </si>
  <si>
    <t xml:space="preserve">SUSTAINMENT Special Repair Activity </t>
  </si>
  <si>
    <t xml:space="preserve">SUSTAINMENT Depot </t>
  </si>
  <si>
    <t xml:space="preserve">SUSTAINMENT Navy Use Only </t>
  </si>
  <si>
    <t>USE: Remove and Replace</t>
  </si>
  <si>
    <t>REPAIR</t>
  </si>
  <si>
    <t>Type?</t>
  </si>
  <si>
    <t>Means of Acquiring the Item?</t>
  </si>
  <si>
    <t>SUSTAINMENT Nonreparable</t>
  </si>
  <si>
    <t>General Support</t>
  </si>
  <si>
    <t>Contractor Facility</t>
  </si>
  <si>
    <t>Not Authorized Below Depot Level</t>
  </si>
  <si>
    <t>Condemn or Dispose at Depot</t>
  </si>
  <si>
    <t>Nonreparable</t>
  </si>
  <si>
    <t>Nonreparable, needs special handling</t>
  </si>
  <si>
    <t>Organization/UniT</t>
  </si>
  <si>
    <t>Direct Support</t>
  </si>
  <si>
    <t>Navy Use Only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</si>
</sst>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4" borderId="1" xfId="0" applyFill="1" applyBorder="1"/>
    <xf numFmtId="0" fontId="0" fillId="2" borderId="0" xfId="0" applyFill="1"/>
    <xf numFmtId="0" fontId="0" fillId="4" borderId="1" xfId="0" applyFont="1" applyFill="1" applyBorder="1"/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S30"/>
  <sheetViews>
    <sheetView showZeros="0" tabSelected="1" zoomScaleNormal="100" workbookViewId="0">
      <pane ySplit="4" topLeftCell="A5" activePane="bottomLeft" state="frozen"/>
      <selection pane="bottomLeft"/>
    </sheetView>
  </sheetViews>
  <sheetFormatPr defaultRowHeight="14.4"/>
  <cols>
    <col min="1" max="1" width="11.5546875" bestFit="1" customWidth="1"/>
    <col min="2" max="2" width="69.77734375" bestFit="1" customWidth="1"/>
    <col min="3" max="4" width="32.33203125" bestFit="1" customWidth="1"/>
    <col min="5" max="5" width="31.6640625" bestFit="1" customWidth="1"/>
    <col min="25" max="25" width="12.6640625" bestFit="1" customWidth="1"/>
    <col min="26" max="26" width="21.77734375" bestFit="1" customWidth="1"/>
    <col min="27" max="27" width="24.6640625" bestFit="1" customWidth="1"/>
    <col min="28" max="28" width="69.77734375" bestFit="1" customWidth="1"/>
    <col min="29" max="29" width="65.6640625" bestFit="1" customWidth="1"/>
    <col min="30" max="30" width="51.5546875" bestFit="1" customWidth="1"/>
    <col min="31" max="31" width="65.6640625" bestFit="1" customWidth="1"/>
    <col min="32" max="32" width="56.109375" bestFit="1" customWidth="1"/>
    <col min="33" max="33" width="26.88671875" bestFit="1" customWidth="1"/>
    <col min="34" max="34" width="30.5546875" bestFit="1" customWidth="1"/>
    <col min="36" max="36" width="69.77734375" bestFit="1" customWidth="1"/>
    <col min="55" max="55" width="69.77734375" bestFit="1" customWidth="1"/>
    <col min="70" max="70" width="77.21875" bestFit="1" customWidth="1"/>
  </cols>
  <sheetData>
    <row r="1" spans="1:71" ht="41.4" customHeight="1">
      <c r="A1" s="1" t="s">
        <v>63</v>
      </c>
      <c r="B1" s="1" t="s">
        <v>64</v>
      </c>
      <c r="C1" s="1" t="s">
        <v>61</v>
      </c>
      <c r="D1" s="1" t="s">
        <v>62</v>
      </c>
      <c r="E1" s="1" t="s">
        <v>0</v>
      </c>
    </row>
    <row r="2" spans="1:71">
      <c r="A2" s="4" t="s">
        <v>44</v>
      </c>
      <c r="B2" s="2" t="s">
        <v>1</v>
      </c>
      <c r="C2" s="2" t="s">
        <v>54</v>
      </c>
      <c r="D2" s="2" t="s">
        <v>65</v>
      </c>
      <c r="E2" s="2" t="s">
        <v>70</v>
      </c>
      <c r="AL2" t="s">
        <v>61</v>
      </c>
      <c r="AN2" t="s">
        <v>62</v>
      </c>
      <c r="AP2" t="s">
        <v>0</v>
      </c>
      <c r="BB2" t="s">
        <v>38</v>
      </c>
      <c r="BC2" t="s">
        <v>1</v>
      </c>
      <c r="BD2" t="s">
        <v>24</v>
      </c>
      <c r="BE2" t="s">
        <v>39</v>
      </c>
      <c r="BF2" t="s">
        <v>7</v>
      </c>
      <c r="BG2" t="s">
        <v>27</v>
      </c>
      <c r="BH2" t="s">
        <v>40</v>
      </c>
      <c r="BI2" t="s">
        <v>10</v>
      </c>
      <c r="BJ2" t="s">
        <v>34</v>
      </c>
      <c r="BK2" t="s">
        <v>24</v>
      </c>
      <c r="BL2" t="s">
        <v>16</v>
      </c>
      <c r="BM2" t="s">
        <v>34</v>
      </c>
      <c r="BN2" t="s">
        <v>41</v>
      </c>
      <c r="BO2" t="s">
        <v>22</v>
      </c>
      <c r="BP2" t="s">
        <v>24</v>
      </c>
      <c r="BR2" t="s">
        <v>1</v>
      </c>
      <c r="BS2" t="s">
        <v>24</v>
      </c>
    </row>
    <row r="3" spans="1:71">
      <c r="A3" s="3" t="str">
        <f>VLOOKUP(A2,W3:X7,2,FALSE)</f>
        <v>M</v>
      </c>
      <c r="B3" s="3" t="str">
        <f>IFERROR(VLOOKUP(B2,AJ2:AK12,2,FALSE),"")</f>
        <v/>
      </c>
      <c r="C3" s="3" t="str">
        <f>IFERROR(VLOOKUP(C2,AL3:AM10,2,FALSE),"")</f>
        <v>F</v>
      </c>
      <c r="D3" s="3" t="str">
        <f>IFERROR(VLOOKUP(D2,AN3:AO11,2,FALSE),"")</f>
        <v>Z</v>
      </c>
      <c r="E3" s="3" t="str">
        <f>IFERROR(VLOOKUP(E2,AP3:AQ11,2,FALSE),"")</f>
        <v>Z</v>
      </c>
      <c r="W3" t="s">
        <v>42</v>
      </c>
      <c r="X3" t="s">
        <v>38</v>
      </c>
      <c r="Y3" t="s">
        <v>1</v>
      </c>
      <c r="Z3" t="s">
        <v>2</v>
      </c>
      <c r="AA3" t="s">
        <v>3</v>
      </c>
      <c r="AB3" t="s">
        <v>47</v>
      </c>
      <c r="AC3" t="s">
        <v>48</v>
      </c>
      <c r="AD3" t="s">
        <v>49</v>
      </c>
      <c r="AE3" t="s">
        <v>50</v>
      </c>
      <c r="AF3" t="s">
        <v>51</v>
      </c>
      <c r="AG3" t="s">
        <v>4</v>
      </c>
      <c r="AH3" t="s">
        <v>5</v>
      </c>
      <c r="AJ3" t="str">
        <f>IF('SMR Calculator'!A$3="P",'SMR Calculator'!BC2,IF('SMR Calculator'!A$3="K",'SMR Calculator'!BF2,IF('SMR Calculator'!A$3="M",'SMR Calculator'!BI2,IF('SMR Calculator'!A$3="A",'SMR Calculator'!BL2,IF('SMR Calculator'!A$3="X",'SMR Calculator'!BO2,"")))))</f>
        <v>MFG OR FAB at Unit Level</v>
      </c>
      <c r="AK3" t="str">
        <f>VLOOKUP(AJ3,BR2:BS30,2,FALSE)</f>
        <v>O</v>
      </c>
      <c r="AL3" t="s">
        <v>53</v>
      </c>
      <c r="AM3" t="s">
        <v>34</v>
      </c>
      <c r="AN3" t="s">
        <v>53</v>
      </c>
      <c r="AO3" t="s">
        <v>34</v>
      </c>
      <c r="AP3" t="s">
        <v>72</v>
      </c>
      <c r="AQ3" t="s">
        <v>34</v>
      </c>
      <c r="BC3" t="s">
        <v>2</v>
      </c>
      <c r="BD3" t="s">
        <v>25</v>
      </c>
      <c r="BF3" t="s">
        <v>8</v>
      </c>
      <c r="BG3" t="s">
        <v>29</v>
      </c>
      <c r="BI3" t="s">
        <v>11</v>
      </c>
      <c r="BJ3" t="s">
        <v>29</v>
      </c>
      <c r="BL3" t="s">
        <v>17</v>
      </c>
      <c r="BM3" t="s">
        <v>29</v>
      </c>
      <c r="BO3" t="s">
        <v>37</v>
      </c>
      <c r="BP3" t="s">
        <v>25</v>
      </c>
      <c r="BR3" t="s">
        <v>2</v>
      </c>
      <c r="BS3" t="s">
        <v>25</v>
      </c>
    </row>
    <row r="4" spans="1:71" ht="35.4" customHeight="1">
      <c r="A4" s="5" t="str">
        <f>IF(LEN(A3&amp;B3&amp;C3&amp;D3&amp;E3)&lt;5,"Please change Type or Means of Acquiring the Item",A3&amp;B3&amp;C3&amp;D3&amp;E3)</f>
        <v>Please change Type or Means of Acquiring the Item</v>
      </c>
      <c r="B4" s="5"/>
      <c r="C4" s="5"/>
      <c r="D4" s="5"/>
      <c r="E4" s="5"/>
      <c r="W4" t="s">
        <v>43</v>
      </c>
      <c r="X4" t="s">
        <v>39</v>
      </c>
      <c r="AJ4" t="s">
        <v>2</v>
      </c>
      <c r="AK4" t="str">
        <f t="shared" ref="AK4:AK12" si="0">VLOOKUP(AJ4,BR3:BS31,2,FALSE)</f>
        <v>B</v>
      </c>
      <c r="AL4" t="s">
        <v>54</v>
      </c>
      <c r="AM4" t="s">
        <v>29</v>
      </c>
      <c r="AN4" t="s">
        <v>54</v>
      </c>
      <c r="AO4" t="s">
        <v>29</v>
      </c>
      <c r="AP4" t="s">
        <v>73</v>
      </c>
      <c r="AQ4" t="s">
        <v>29</v>
      </c>
      <c r="BC4" t="s">
        <v>3</v>
      </c>
      <c r="BD4" t="s">
        <v>26</v>
      </c>
      <c r="BF4" t="s">
        <v>9</v>
      </c>
      <c r="BG4" t="s">
        <v>25</v>
      </c>
      <c r="BI4" t="s">
        <v>12</v>
      </c>
      <c r="BJ4" t="s">
        <v>31</v>
      </c>
      <c r="BL4" t="s">
        <v>18</v>
      </c>
      <c r="BM4" t="s">
        <v>31</v>
      </c>
      <c r="BO4" t="s">
        <v>36</v>
      </c>
      <c r="BP4" t="s">
        <v>26</v>
      </c>
      <c r="BR4" t="s">
        <v>3</v>
      </c>
      <c r="BS4" t="s">
        <v>26</v>
      </c>
    </row>
    <row r="5" spans="1:71">
      <c r="W5" t="s">
        <v>44</v>
      </c>
      <c r="X5" t="s">
        <v>40</v>
      </c>
      <c r="AJ5" t="str">
        <f>IF('SMR Calculator'!A$3="P",'SMR Calculator'!BC4,IF('SMR Calculator'!A$3="K",'SMR Calculator'!BF4,IF('SMR Calculator'!A$3="M",'SMR Calculator'!BI4,IF('SMR Calculator'!A$3="A",'SMR Calculator'!BL4,IF('SMR Calculator'!A$3="X",'SMR Calculator'!BO4,"")))))</f>
        <v>MFG OR FAB at GS Level</v>
      </c>
      <c r="AK5" t="str">
        <f t="shared" si="0"/>
        <v>H</v>
      </c>
      <c r="AL5" t="s">
        <v>55</v>
      </c>
      <c r="AM5" t="s">
        <v>30</v>
      </c>
      <c r="AN5" t="s">
        <v>55</v>
      </c>
      <c r="AO5" t="s">
        <v>30</v>
      </c>
      <c r="AP5" t="s">
        <v>74</v>
      </c>
      <c r="AQ5" t="s">
        <v>30</v>
      </c>
      <c r="BC5" t="s">
        <v>47</v>
      </c>
      <c r="BD5" t="s">
        <v>27</v>
      </c>
      <c r="BI5" t="s">
        <v>13</v>
      </c>
      <c r="BJ5" t="s">
        <v>35</v>
      </c>
      <c r="BL5" t="s">
        <v>19</v>
      </c>
      <c r="BM5" t="s">
        <v>35</v>
      </c>
      <c r="BO5" t="s">
        <v>23</v>
      </c>
      <c r="BP5" t="s">
        <v>27</v>
      </c>
      <c r="BR5" t="s">
        <v>47</v>
      </c>
      <c r="BS5" t="s">
        <v>27</v>
      </c>
    </row>
    <row r="6" spans="1:71">
      <c r="W6" t="s">
        <v>45</v>
      </c>
      <c r="X6" t="s">
        <v>24</v>
      </c>
      <c r="AJ6" t="str">
        <f>IF('SMR Calculator'!A$3="P",'SMR Calculator'!BC5,IF('SMR Calculator'!A$3="K",'SMR Calculator'!BF5,IF('SMR Calculator'!A$3="M",'SMR Calculator'!BI5,IF('SMR Calculator'!A$3="A",'SMR Calculator'!BL5,IF('SMR Calculator'!A$3="X",'SMR Calculator'!BO5,"")))))</f>
        <v>MFG OR FAB at Special Repair Activity (SRA)</v>
      </c>
      <c r="AK6" t="str">
        <f t="shared" si="0"/>
        <v>L</v>
      </c>
      <c r="AL6" t="s">
        <v>56</v>
      </c>
      <c r="AM6" t="s">
        <v>31</v>
      </c>
      <c r="AN6" t="s">
        <v>56</v>
      </c>
      <c r="AO6" t="s">
        <v>31</v>
      </c>
      <c r="AP6" t="s">
        <v>66</v>
      </c>
      <c r="AQ6" t="s">
        <v>31</v>
      </c>
      <c r="BC6" t="s">
        <v>48</v>
      </c>
      <c r="BD6" t="s">
        <v>28</v>
      </c>
      <c r="BI6" t="s">
        <v>14</v>
      </c>
      <c r="BJ6" t="s">
        <v>30</v>
      </c>
      <c r="BL6" t="s">
        <v>20</v>
      </c>
      <c r="BM6" t="s">
        <v>30</v>
      </c>
      <c r="BR6" t="s">
        <v>48</v>
      </c>
      <c r="BS6" t="s">
        <v>28</v>
      </c>
    </row>
    <row r="7" spans="1:71">
      <c r="W7" t="s">
        <v>46</v>
      </c>
      <c r="X7" t="s">
        <v>41</v>
      </c>
      <c r="AJ7" t="str">
        <f>IF('SMR Calculator'!A$3="P",'SMR Calculator'!BC6,IF('SMR Calculator'!A$3="K",'SMR Calculator'!BF6,IF('SMR Calculator'!A$3="M",'SMR Calculator'!BI6,IF('SMR Calculator'!A$3="A",'SMR Calculator'!BL6,IF('SMR Calculator'!A$3="X",'SMR Calculator'!BO6,"")))))</f>
        <v>MFG OR FAB at Both Afloat and Ashore (Navy Only)</v>
      </c>
      <c r="AK7" t="str">
        <f t="shared" si="0"/>
        <v>G</v>
      </c>
      <c r="AL7" t="s">
        <v>57</v>
      </c>
      <c r="AM7" t="s">
        <v>39</v>
      </c>
      <c r="AN7" t="s">
        <v>57</v>
      </c>
      <c r="AO7" t="s">
        <v>39</v>
      </c>
      <c r="AP7" t="s">
        <v>67</v>
      </c>
      <c r="AQ7" t="s">
        <v>39</v>
      </c>
      <c r="BC7" t="s">
        <v>49</v>
      </c>
      <c r="BD7" t="s">
        <v>29</v>
      </c>
      <c r="BI7" t="s">
        <v>15</v>
      </c>
      <c r="BJ7" t="s">
        <v>27</v>
      </c>
      <c r="BL7" t="s">
        <v>21</v>
      </c>
      <c r="BM7" t="s">
        <v>27</v>
      </c>
      <c r="BR7" t="s">
        <v>49</v>
      </c>
      <c r="BS7" t="s">
        <v>29</v>
      </c>
    </row>
    <row r="8" spans="1:71">
      <c r="AJ8" t="str">
        <f>IF('SMR Calculator'!A$3="P",'SMR Calculator'!BC7,IF('SMR Calculator'!A$3="K",'SMR Calculator'!BF7,IF('SMR Calculator'!A$3="M",'SMR Calculator'!BI7,IF('SMR Calculator'!A$3="A",'SMR Calculator'!BL7,IF('SMR Calculator'!A$3="X",'SMR Calculator'!BO7,"")))))</f>
        <v>MFG OR FAB at Depot Maintenance Level</v>
      </c>
      <c r="AK8" t="str">
        <f t="shared" si="0"/>
        <v>D</v>
      </c>
      <c r="AL8" t="s">
        <v>58</v>
      </c>
      <c r="AM8" t="s">
        <v>35</v>
      </c>
      <c r="AN8" t="s">
        <v>58</v>
      </c>
      <c r="AO8" t="s">
        <v>35</v>
      </c>
      <c r="AP8" t="s">
        <v>68</v>
      </c>
      <c r="AQ8" t="s">
        <v>35</v>
      </c>
      <c r="BC8" t="s">
        <v>50</v>
      </c>
      <c r="BD8" t="s">
        <v>30</v>
      </c>
      <c r="BR8" t="s">
        <v>50</v>
      </c>
      <c r="BS8" t="s">
        <v>30</v>
      </c>
    </row>
    <row r="9" spans="1:71">
      <c r="AJ9">
        <f>IF('SMR Calculator'!A$3="P",'SMR Calculator'!BC8,IF('SMR Calculator'!A$3="K",'SMR Calculator'!BF8,IF('SMR Calculator'!A$3="M",'SMR Calculator'!BI8,IF('SMR Calculator'!A$3="A",'SMR Calculator'!BL8,IF('SMR Calculator'!A$3="X",'SMR Calculator'!BO8,"")))))</f>
        <v>0</v>
      </c>
      <c r="AK9" t="e">
        <f t="shared" si="0"/>
        <v>#N/A</v>
      </c>
      <c r="AL9" t="s">
        <v>59</v>
      </c>
      <c r="AM9" t="s">
        <v>27</v>
      </c>
      <c r="AN9" t="s">
        <v>59</v>
      </c>
      <c r="AO9" t="s">
        <v>27</v>
      </c>
      <c r="AP9" t="s">
        <v>69</v>
      </c>
      <c r="AQ9" t="s">
        <v>27</v>
      </c>
      <c r="BC9" t="s">
        <v>51</v>
      </c>
      <c r="BD9" t="s">
        <v>31</v>
      </c>
      <c r="BR9" t="s">
        <v>51</v>
      </c>
      <c r="BS9" t="s">
        <v>31</v>
      </c>
    </row>
    <row r="10" spans="1:71">
      <c r="AJ10">
        <f>IF('SMR Calculator'!A$3="P",'SMR Calculator'!BC9,IF('SMR Calculator'!A$3="K",'SMR Calculator'!BF9,IF('SMR Calculator'!A$3="M",'SMR Calculator'!BI9,IF('SMR Calculator'!A$3="A",'SMR Calculator'!BL9,IF('SMR Calculator'!A$3="X",'SMR Calculator'!BO9,"")))))</f>
        <v>0</v>
      </c>
      <c r="AK10" t="e">
        <f t="shared" si="0"/>
        <v>#N/A</v>
      </c>
      <c r="AL10" t="s">
        <v>60</v>
      </c>
      <c r="AM10" t="s">
        <v>33</v>
      </c>
      <c r="AN10" t="s">
        <v>65</v>
      </c>
      <c r="AO10" t="s">
        <v>33</v>
      </c>
      <c r="AP10" t="s">
        <v>70</v>
      </c>
      <c r="AQ10" t="s">
        <v>33</v>
      </c>
      <c r="BC10" t="s">
        <v>4</v>
      </c>
      <c r="BD10" t="s">
        <v>32</v>
      </c>
      <c r="BR10" t="s">
        <v>4</v>
      </c>
      <c r="BS10" t="s">
        <v>32</v>
      </c>
    </row>
    <row r="11" spans="1:71">
      <c r="AJ11">
        <f>IF('SMR Calculator'!A$3="P",'SMR Calculator'!BC10,IF('SMR Calculator'!A$3="K",'SMR Calculator'!BF10,IF('SMR Calculator'!A$3="M",'SMR Calculator'!BI10,IF('SMR Calculator'!A$3="A",'SMR Calculator'!BL10,IF('SMR Calculator'!A$3="X",'SMR Calculator'!BO10,"")))))</f>
        <v>0</v>
      </c>
      <c r="AK11" t="e">
        <f t="shared" si="0"/>
        <v>#N/A</v>
      </c>
      <c r="AN11" t="s">
        <v>52</v>
      </c>
      <c r="AO11" t="s">
        <v>25</v>
      </c>
      <c r="AP11" t="s">
        <v>71</v>
      </c>
      <c r="AQ11" t="s">
        <v>25</v>
      </c>
      <c r="BC11" t="s">
        <v>5</v>
      </c>
      <c r="BD11" t="s">
        <v>33</v>
      </c>
      <c r="BR11" t="s">
        <v>5</v>
      </c>
      <c r="BS11" t="s">
        <v>33</v>
      </c>
    </row>
    <row r="12" spans="1:71">
      <c r="AJ12">
        <f>IF('SMR Calculator'!A$3="P",'SMR Calculator'!BC11,IF('SMR Calculator'!A$3="K",'SMR Calculator'!BF11,IF('SMR Calculator'!A$3="M",'SMR Calculator'!BI11,IF('SMR Calculator'!A$3="A",'SMR Calculator'!BL11,IF('SMR Calculator'!A$3="X",'SMR Calculator'!BO11,"")))))</f>
        <v>0</v>
      </c>
      <c r="AK12" t="e">
        <f t="shared" si="0"/>
        <v>#N/A</v>
      </c>
      <c r="BC12" t="s">
        <v>6</v>
      </c>
      <c r="BD12" t="s">
        <v>6</v>
      </c>
      <c r="BR12" t="s">
        <v>7</v>
      </c>
      <c r="BS12" t="s">
        <v>27</v>
      </c>
    </row>
    <row r="13" spans="1:71">
      <c r="BC13" t="s">
        <v>61</v>
      </c>
      <c r="BF13" t="s">
        <v>62</v>
      </c>
      <c r="BI13" t="s">
        <v>0</v>
      </c>
      <c r="BR13" t="s">
        <v>8</v>
      </c>
      <c r="BS13" t="s">
        <v>29</v>
      </c>
    </row>
    <row r="14" spans="1:71">
      <c r="BC14" t="s">
        <v>53</v>
      </c>
      <c r="BD14" t="s">
        <v>34</v>
      </c>
      <c r="BF14" t="s">
        <v>53</v>
      </c>
      <c r="BG14" t="s">
        <v>34</v>
      </c>
      <c r="BI14" t="s">
        <v>72</v>
      </c>
      <c r="BJ14" t="s">
        <v>34</v>
      </c>
      <c r="BR14" t="s">
        <v>9</v>
      </c>
      <c r="BS14" t="s">
        <v>25</v>
      </c>
    </row>
    <row r="15" spans="1:71">
      <c r="BC15" t="s">
        <v>54</v>
      </c>
      <c r="BD15" t="s">
        <v>29</v>
      </c>
      <c r="BF15" t="s">
        <v>54</v>
      </c>
      <c r="BG15" t="s">
        <v>29</v>
      </c>
      <c r="BI15" t="s">
        <v>73</v>
      </c>
      <c r="BJ15" t="s">
        <v>29</v>
      </c>
      <c r="BR15" t="s">
        <v>10</v>
      </c>
      <c r="BS15" t="s">
        <v>34</v>
      </c>
    </row>
    <row r="16" spans="1:71">
      <c r="BC16" t="s">
        <v>55</v>
      </c>
      <c r="BD16" t="s">
        <v>30</v>
      </c>
      <c r="BF16" t="s">
        <v>55</v>
      </c>
      <c r="BG16" t="s">
        <v>30</v>
      </c>
      <c r="BI16" t="s">
        <v>74</v>
      </c>
      <c r="BJ16" t="s">
        <v>30</v>
      </c>
      <c r="BR16" t="s">
        <v>11</v>
      </c>
      <c r="BS16" t="s">
        <v>29</v>
      </c>
    </row>
    <row r="17" spans="55:71">
      <c r="BC17" t="s">
        <v>56</v>
      </c>
      <c r="BD17" t="s">
        <v>31</v>
      </c>
      <c r="BF17" t="s">
        <v>56</v>
      </c>
      <c r="BG17" t="s">
        <v>31</v>
      </c>
      <c r="BI17" t="s">
        <v>66</v>
      </c>
      <c r="BJ17" t="s">
        <v>31</v>
      </c>
      <c r="BR17" t="s">
        <v>12</v>
      </c>
      <c r="BS17" t="s">
        <v>31</v>
      </c>
    </row>
    <row r="18" spans="55:71">
      <c r="BC18" t="s">
        <v>57</v>
      </c>
      <c r="BD18" t="s">
        <v>39</v>
      </c>
      <c r="BF18" t="s">
        <v>57</v>
      </c>
      <c r="BG18" t="s">
        <v>39</v>
      </c>
      <c r="BI18" t="s">
        <v>67</v>
      </c>
      <c r="BJ18" t="s">
        <v>39</v>
      </c>
      <c r="BR18" t="s">
        <v>13</v>
      </c>
      <c r="BS18" t="s">
        <v>35</v>
      </c>
    </row>
    <row r="19" spans="55:71">
      <c r="BC19" t="s">
        <v>58</v>
      </c>
      <c r="BD19" t="s">
        <v>35</v>
      </c>
      <c r="BF19" t="s">
        <v>58</v>
      </c>
      <c r="BG19" t="s">
        <v>35</v>
      </c>
      <c r="BI19" t="s">
        <v>68</v>
      </c>
      <c r="BJ19" t="s">
        <v>35</v>
      </c>
      <c r="BR19" t="s">
        <v>14</v>
      </c>
      <c r="BS19" t="s">
        <v>30</v>
      </c>
    </row>
    <row r="20" spans="55:71">
      <c r="BC20" t="s">
        <v>59</v>
      </c>
      <c r="BD20" t="s">
        <v>27</v>
      </c>
      <c r="BF20" t="s">
        <v>59</v>
      </c>
      <c r="BG20" t="s">
        <v>27</v>
      </c>
      <c r="BI20" t="s">
        <v>69</v>
      </c>
      <c r="BJ20" t="s">
        <v>27</v>
      </c>
      <c r="BR20" t="s">
        <v>15</v>
      </c>
      <c r="BS20" t="s">
        <v>27</v>
      </c>
    </row>
    <row r="21" spans="55:71">
      <c r="BC21" t="s">
        <v>60</v>
      </c>
      <c r="BD21" t="s">
        <v>33</v>
      </c>
      <c r="BF21" t="s">
        <v>65</v>
      </c>
      <c r="BG21" t="s">
        <v>33</v>
      </c>
      <c r="BI21" t="s">
        <v>70</v>
      </c>
      <c r="BJ21" t="s">
        <v>33</v>
      </c>
      <c r="BR21" t="s">
        <v>16</v>
      </c>
      <c r="BS21" t="s">
        <v>34</v>
      </c>
    </row>
    <row r="22" spans="55:71">
      <c r="BF22" t="s">
        <v>52</v>
      </c>
      <c r="BG22" t="s">
        <v>25</v>
      </c>
      <c r="BI22" t="s">
        <v>71</v>
      </c>
      <c r="BJ22" t="s">
        <v>25</v>
      </c>
      <c r="BR22" t="s">
        <v>17</v>
      </c>
      <c r="BS22" t="s">
        <v>29</v>
      </c>
    </row>
    <row r="23" spans="55:71">
      <c r="BR23" t="s">
        <v>18</v>
      </c>
      <c r="BS23" t="s">
        <v>31</v>
      </c>
    </row>
    <row r="24" spans="55:71">
      <c r="BD24" t="s">
        <v>6</v>
      </c>
      <c r="BR24" t="s">
        <v>19</v>
      </c>
      <c r="BS24" t="s">
        <v>35</v>
      </c>
    </row>
    <row r="25" spans="55:71">
      <c r="BR25" t="s">
        <v>20</v>
      </c>
      <c r="BS25" t="s">
        <v>30</v>
      </c>
    </row>
    <row r="26" spans="55:71">
      <c r="BR26" t="s">
        <v>21</v>
      </c>
      <c r="BS26" t="s">
        <v>27</v>
      </c>
    </row>
    <row r="27" spans="55:71">
      <c r="BR27" t="s">
        <v>22</v>
      </c>
      <c r="BS27" t="s">
        <v>24</v>
      </c>
    </row>
    <row r="28" spans="55:71">
      <c r="BR28" t="s">
        <v>37</v>
      </c>
      <c r="BS28" t="s">
        <v>25</v>
      </c>
    </row>
    <row r="29" spans="55:71">
      <c r="BR29" t="s">
        <v>36</v>
      </c>
      <c r="BS29" t="s">
        <v>26</v>
      </c>
    </row>
    <row r="30" spans="55:71">
      <c r="BR30" t="s">
        <v>23</v>
      </c>
      <c r="BS30" t="s">
        <v>27</v>
      </c>
    </row>
  </sheetData>
  <mergeCells count="1">
    <mergeCell ref="A4:E4"/>
  </mergeCells>
  <conditionalFormatting sqref="A4">
    <cfRule type="expression" dxfId="0" priority="1">
      <formula>LEN($A$4)&gt;5</formula>
    </cfRule>
  </conditionalFormatting>
  <dataValidations count="5">
    <dataValidation type="list" allowBlank="1" showInputMessage="1" showErrorMessage="1" sqref="D2">
      <formula1>$AN$2:$AN$11</formula1>
    </dataValidation>
    <dataValidation type="list" allowBlank="1" showInputMessage="1" showErrorMessage="1" sqref="B2">
      <formula1>$AJ$2:$AJ$12</formula1>
    </dataValidation>
    <dataValidation type="list" allowBlank="1" showInputMessage="1" showErrorMessage="1" sqref="A2">
      <formula1>$W$2:$W$7</formula1>
    </dataValidation>
    <dataValidation type="list" allowBlank="1" showInputMessage="1" showErrorMessage="1" sqref="C2">
      <formula1>$AL$2:$AL$10</formula1>
    </dataValidation>
    <dataValidation type="list" allowBlank="1" showInputMessage="1" showErrorMessage="1" sqref="E2">
      <formula1>$AP$2:$AP$11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showZeros="0" workbookViewId="0"/>
  </sheetViews>
  <sheetFormatPr defaultRowHeight="14.4"/>
  <cols>
    <col min="1" max="1" width="2" bestFit="1" customWidth="1"/>
    <col min="2" max="2" width="36.44140625" bestFit="1" customWidth="1"/>
    <col min="3" max="3" width="2.21875" bestFit="1" customWidth="1"/>
    <col min="4" max="4" width="2" bestFit="1" customWidth="1"/>
    <col min="5" max="5" width="34" bestFit="1" customWidth="1"/>
    <col min="6" max="6" width="2.21875" bestFit="1" customWidth="1"/>
    <col min="7" max="7" width="2.6640625" bestFit="1" customWidth="1"/>
    <col min="8" max="8" width="43.33203125" bestFit="1" customWidth="1"/>
    <col min="9" max="9" width="2.33203125" bestFit="1" customWidth="1"/>
    <col min="10" max="10" width="2.109375" bestFit="1" customWidth="1"/>
    <col min="11" max="11" width="42.6640625" bestFit="1" customWidth="1"/>
    <col min="12" max="12" width="2.33203125" bestFit="1" customWidth="1"/>
    <col min="13" max="13" width="2" bestFit="1" customWidth="1"/>
    <col min="14" max="14" width="77.21875" bestFit="1" customWidth="1"/>
    <col min="15" max="15" width="2.21875" bestFit="1" customWidth="1"/>
    <col min="17" max="17" width="77.21875" bestFit="1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SMR Calculator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2013-01-25T18:54:49Z</dcterms:created>
  <dcterms:modified xsi:type="dcterms:W3CDTF">2013-01-25T21:28:07Z</dcterms:modified>
</cp:coreProperties>
</file>